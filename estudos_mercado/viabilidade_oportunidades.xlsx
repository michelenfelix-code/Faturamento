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14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ia-me" sheetId="1" state="visible" r:id="rId3"/>
    <sheet name="Resumo" sheetId="2" state="visible" r:id="rId4"/>
    <sheet name="Premissas" sheetId="3" state="visible" r:id="rId5"/>
    <sheet name="Fluxo 01 BPO" sheetId="4" state="visible" r:id="rId6"/>
    <sheet name="Fluxo 02 NR-1" sheetId="5" state="visible" r:id="rId7"/>
    <sheet name="Fluxo 03 Cuidadores" sheetId="6" state="visible" r:id="rId8"/>
    <sheet name="Fluxo 04 Eletrificados" sheetId="7" state="visible" r:id="rId9"/>
    <sheet name="Fluxo 05 Climatizacao" sheetId="8" state="visible" r:id="rId10"/>
    <sheet name="Fluxo 06 Carregadores" sheetId="9" state="visible" r:id="rId11"/>
    <sheet name="Fluxo 07 Predial" sheetId="10" state="visible" r:id="rId12"/>
    <sheet name="Fluxo 08 Solar" sheetId="11" state="visible" r:id="rId13"/>
    <sheet name="Fluxo 09 Sindico" sheetId="12" state="visible" r:id="rId14"/>
    <sheet name="Fluxo 10 TEA" sheetId="13" state="visible" r:id="rId15"/>
    <sheet name="Validação de campo" sheetId="14" state="visible" r:id="rId1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4" authorId="0">
      <text>
        <r>
          <rPr>
            <sz val="10"/>
            <rFont val="Arial"/>
            <family val="2"/>
          </rPr>
          <t xml:space="preserve">Valor mensal cobrado pelo concorrente para o serviço equivalente.</t>
        </r>
      </text>
    </comment>
  </commentList>
</comments>
</file>

<file path=xl/sharedStrings.xml><?xml version="1.0" encoding="utf-8"?>
<sst xmlns="http://schemas.openxmlformats.org/spreadsheetml/2006/main" count="364" uniqueCount="179">
  <si>
    <t xml:space="preserve">Viabilidade das 10 oportunidades do levantamento de mercado</t>
  </si>
  <si>
    <t xml:space="preserve">Brasil, São Paulo e Alto Tietê - ranking de out/2026</t>
  </si>
  <si>
    <t xml:space="preserve">COMO USAR</t>
  </si>
  <si>
    <t xml:space="preserve">1. Edite só as células AMARELAS com texto AZUL na aba 'Premissas'. Todo o resto é fórmula.</t>
  </si>
  <si>
    <t xml:space="preserve">2. Escolha o cenário (Pessimista / Base / Otimista) na célula B19 da aba 'Premissas'.</t>
  </si>
  <si>
    <t xml:space="preserve">3. Compare as 10 oportunidades na aba 'Resumo' (payback, VPL, TIR, ponto de equilíbrio e ranking por VPL).</t>
  </si>
  <si>
    <t xml:space="preserve">4. As abas 'Fluxo ...' mostram mês a mês (36 meses) clientes, receita, custos e caixa acumulado.</t>
  </si>
  <si>
    <t xml:space="preserve">5. Registre concorrentes e cotações do Alto Tietê na aba 'Validação de campo' e ajuste as premissas.</t>
  </si>
  <si>
    <t xml:space="preserve">LEGENDA DE CORES</t>
  </si>
  <si>
    <t xml:space="preserve">Texto azul + fundo amarelo = premissa digitada (pode alterar)</t>
  </si>
  <si>
    <t xml:space="preserve">Texto preto = fórmula calculada (não alterar)</t>
  </si>
  <si>
    <t xml:space="preserve">Texto verde = vínculo com outra aba</t>
  </si>
  <si>
    <t xml:space="preserve">ATENÇÃO</t>
  </si>
  <si>
    <t xml:space="preserve">Todas as premissas financeiras são ESTIMATIVAS iniciais, não dados de mercado. Valide preços, custos e impostos antes de qualquer decisão.</t>
  </si>
  <si>
    <t xml:space="preserve">Cada negócio tem um significado próprio de 'cliente' (linha 5 da aba Premissas): família, empresa, veículo, sistema solar, condomínio, paciente.</t>
  </si>
  <si>
    <t xml:space="preserve">Os impostos usam alíquotas de referência do Simples Nacional. Confirme CNAE, anexo e Fator R.</t>
  </si>
  <si>
    <t xml:space="preserve">O modelo trata clientes como média (pode haver frações) e não inclui reajuste de preços, sazonalidade nem capital de giro: é uma visão gerencial simplificada.</t>
  </si>
  <si>
    <t xml:space="preserve">FONTES DOS DADOS DE DEMANDA (levantamento de out/2026)</t>
  </si>
  <si>
    <t xml:space="preserve">BPO / mercado: https://www.imarcgroup.com/report/pt-br/brazil-business-process-outsourcing-market</t>
  </si>
  <si>
    <t xml:space="preserve">Reforma tributária e contratações: https://fenacon.org.br/reforma-tributaria/reforma-tributaria-impulsiona-contratacao-de-contadores-e-tributaristas/</t>
  </si>
  <si>
    <t xml:space="preserve">NR-1 em vigor desde 26/05/2026: https://www.rsdata.com.br/?p=36737</t>
  </si>
  <si>
    <t xml:space="preserve">Fiscalização NR-1: https://www.contabeis.com.br/noticias/76472/nr-1-entra-em-fase-de-fiscalizacao-e-pressiona-empresas/</t>
  </si>
  <si>
    <t xml:space="preserve">Afastamentos por transtornos mentais 2025: https://outraspalavras.net/outrasaude/quais-as-doencas-que-mais-afastaram-trabalhadores-em-2025/</t>
  </si>
  <si>
    <t xml:space="preserve">Cuidadores +74% (Sebrae): https://fenacon.org.br/noticias/em-cinco-anos-abertura-de-pequenos-negocios-de-servico-de-cuidadores-cresceu-74-no-brasil/</t>
  </si>
  <si>
    <t xml:space="preserve">Envelhecimento (Censo 2022): https://www.em.com.br/gerais/2026/07/7467827-com-o-pais-envelhecendo-quem-cuidara-dos-nossos-idosos-e-de-nos-mesmos.html</t>
  </si>
  <si>
    <t xml:space="preserve">Falta de técnicos em eletrificados (IQA): https://agenciainfra.com/blog/?p=37576</t>
  </si>
  <si>
    <t xml:space="preserve">Mercado de ar-condicionado 2025 (Abrava): https://iifiir.org/en/news/brazil-s-ac-market-continues-to-expand-in-2025-with-slower-but-sustained-growth</t>
  </si>
  <si>
    <t xml:space="preserve">Carregadores em condomínios SP: https://portas.com.br/noticias/carregamento-carros-eletricos-condominio-sp/</t>
  </si>
  <si>
    <t xml:space="preserve">Falta de mão de obra na construção (FGV IBRE): https://en.clickpetroleoegas.com.br/industria-da-construcao-vive-apagao-de-mao-de-obra-falta-de-pedreiros-mestres-de-obras-e-eletricistas-vml97/</t>
  </si>
  <si>
    <t xml:space="preserve">4,3 milhões de sistemas solares: https://www.pv-magazine-brasil.com/author/alessandra-neris/page/2</t>
  </si>
  <si>
    <t xml:space="preserve">Síndico profissional: https://diariodocomercio.com.br/opiniao/artigo/sindico-profissional-carreira-alta-mercado-condominial/</t>
  </si>
  <si>
    <t xml:space="preserve">TEA: filas e falta de profissionais: https://futurodasaude.com.br/?p=44484</t>
  </si>
  <si>
    <t xml:space="preserve">Resumo comparativo - 36 meses</t>
  </si>
  <si>
    <t xml:space="preserve">Cenário ativo:</t>
  </si>
  <si>
    <t xml:space="preserve">Indicador</t>
  </si>
  <si>
    <t xml:space="preserve">1. BPO financeiro / controladoria</t>
  </si>
  <si>
    <t xml:space="preserve">2. Consultoria NR-1 psicossocial</t>
  </si>
  <si>
    <t xml:space="preserve">3. Agência de cuidadores</t>
  </si>
  <si>
    <t xml:space="preserve">4. Oficina de eletrificados</t>
  </si>
  <si>
    <t xml:space="preserve">5. Climatização / PMOC</t>
  </si>
  <si>
    <t xml:space="preserve">6. Carregadores VE</t>
  </si>
  <si>
    <t xml:space="preserve">7. Manutenção predial</t>
  </si>
  <si>
    <t xml:space="preserve">8. O&amp;M solar</t>
  </si>
  <si>
    <t xml:space="preserve">9. Síndico profissional</t>
  </si>
  <si>
    <t xml:space="preserve">10. Clínica TEA</t>
  </si>
  <si>
    <t xml:space="preserve">Como ler</t>
  </si>
  <si>
    <t xml:space="preserve">Investimento inicial</t>
  </si>
  <si>
    <t xml:space="preserve">Valor aplicado no mês 0.</t>
  </si>
  <si>
    <t xml:space="preserve">Clientes ativos - mês 12</t>
  </si>
  <si>
    <t xml:space="preserve">Ver 'O que é 1 cliente' em Premissas.</t>
  </si>
  <si>
    <t xml:space="preserve">Clientes ativos - mês 36</t>
  </si>
  <si>
    <t xml:space="preserve">Receita mensal - mês 12</t>
  </si>
  <si>
    <t xml:space="preserve">Receita mensal - mês 36</t>
  </si>
  <si>
    <t xml:space="preserve">Resultado mensal - mês 12</t>
  </si>
  <si>
    <t xml:space="preserve">Depois de impostos, custos e pró-labore.</t>
  </si>
  <si>
    <t xml:space="preserve">Resultado mensal - mês 36</t>
  </si>
  <si>
    <t xml:space="preserve">Margem líquida - mês 12</t>
  </si>
  <si>
    <t xml:space="preserve">Resultado / receita.</t>
  </si>
  <si>
    <t xml:space="preserve">Margem líquida - mês 36</t>
  </si>
  <si>
    <t xml:space="preserve">Receita acumulada - 36 meses</t>
  </si>
  <si>
    <t xml:space="preserve">Caixa acumulado - mês 36</t>
  </si>
  <si>
    <t xml:space="preserve">Já descontado o investimento inicial.</t>
  </si>
  <si>
    <t xml:space="preserve">Ponto de equilíbrio (clientes)</t>
  </si>
  <si>
    <t xml:space="preserve">Clientes recorrentes para cobrir custos fixos e pró-labore (sem implantação).</t>
  </si>
  <si>
    <t xml:space="preserve">Capacidade cobre o equilíbrio?</t>
  </si>
  <si>
    <t xml:space="preserve">Se 'Não', o negócio não se paga nem lotado com a estrutura prevista.</t>
  </si>
  <si>
    <t xml:space="preserve">Payback (meses)</t>
  </si>
  <si>
    <t xml:space="preserve">Mês em que o caixa acumulado volta a ficar positivo.</t>
  </si>
  <si>
    <t xml:space="preserve">VPL - 36 meses</t>
  </si>
  <si>
    <t xml:space="preserve">Positivo = rende mais que a TMA.</t>
  </si>
  <si>
    <t xml:space="preserve">TIR mensal</t>
  </si>
  <si>
    <t xml:space="preserve">Comparar com a TMA.</t>
  </si>
  <si>
    <t xml:space="preserve">TIR anual equivalente</t>
  </si>
  <si>
    <t xml:space="preserve">Ranking por VPL</t>
  </si>
  <si>
    <t xml:space="preserve">1 = maior VPL no cenário ativo.</t>
  </si>
  <si>
    <t xml:space="preserve">Todos os valores dependem das premissas estimadas; troque o cenário em Premissas!B19 para testar sensibilidade.</t>
  </si>
  <si>
    <t xml:space="preserve">Premissas do modelo</t>
  </si>
  <si>
    <t xml:space="preserve">Células amarelas = estimativas editáveis. Valores iniciais são hipóteses a validar.</t>
  </si>
  <si>
    <t xml:space="preserve">Premissa</t>
  </si>
  <si>
    <t xml:space="preserve">Unidade</t>
  </si>
  <si>
    <t xml:space="preserve">Observação</t>
  </si>
  <si>
    <t xml:space="preserve">O que é 1 cliente</t>
  </si>
  <si>
    <t xml:space="preserve">1 PME com contrato mensal de BPO + relatórios gerenciais</t>
  </si>
  <si>
    <t xml:space="preserve">1 empresa com acompanhamento mensal; implantação = diagnóstico + revisão do PGR</t>
  </si>
  <si>
    <t xml:space="preserve">1 família com 1 cuidador mensal (ex.: 12x36 diurno); custo variável = cuidador</t>
  </si>
  <si>
    <t xml:space="preserve">1 veículo na carteira; ticket = gasto médio mensal (revisões + reparos)</t>
  </si>
  <si>
    <t xml:space="preserve">1 contrato PMOC mensal; implantação = instalação/adequação inicial</t>
  </si>
  <si>
    <t xml:space="preserve">1 vaga/carregador instalado; implantação = projeto + instalação; ticket = manutenção</t>
  </si>
  <si>
    <t xml:space="preserve">1 condomínio/empresa com contrato preventivo mensal</t>
  </si>
  <si>
    <t xml:space="preserve">1 sistema fotovoltaico com plano (limpeza + inspeção + monitoramento)</t>
  </si>
  <si>
    <t xml:space="preserve">1 condomínio administrado</t>
  </si>
  <si>
    <t xml:space="preserve">1 paciente em terapia mensal; implantação = avaliação inicial</t>
  </si>
  <si>
    <t xml:space="preserve">R$</t>
  </si>
  <si>
    <t xml:space="preserve">Estimativa: equipamentos, veículo, estrutura, software, marketing, CNPJ.</t>
  </si>
  <si>
    <t xml:space="preserve">Ticket mensal recorrente por cliente</t>
  </si>
  <si>
    <t xml:space="preserve">R$/mês</t>
  </si>
  <si>
    <t xml:space="preserve">Estimativa a validar com cotação oculta (aba Validação de campo). Ver linha 'O que é 1 cliente'.</t>
  </si>
  <si>
    <t xml:space="preserve">Receita de implantação por novo cliente</t>
  </si>
  <si>
    <t xml:space="preserve">Cobrança única na entrada (diagnóstico, onboarding, instalação, avaliação).</t>
  </si>
  <si>
    <t xml:space="preserve">Clientes no 1º mês</t>
  </si>
  <si>
    <t xml:space="preserve">clientes</t>
  </si>
  <si>
    <t xml:space="preserve">Estimativa conservadora (rede de contatos).</t>
  </si>
  <si>
    <t xml:space="preserve">Novos clientes por mês</t>
  </si>
  <si>
    <t xml:space="preserve">clientes/mês</t>
  </si>
  <si>
    <t xml:space="preserve">Estimativa. Ajustada pelo fator de cenário.</t>
  </si>
  <si>
    <t xml:space="preserve">Capacidade máxima de clientes</t>
  </si>
  <si>
    <t xml:space="preserve">Limite da estrutura prevista nos custos fixos. Acima disso, rever custos e investimento.</t>
  </si>
  <si>
    <t xml:space="preserve">Cancelamento mensal (churn)</t>
  </si>
  <si>
    <t xml:space="preserve">% ao mês</t>
  </si>
  <si>
    <t xml:space="preserve">Estimativa de perda de clientes por mês.</t>
  </si>
  <si>
    <t xml:space="preserve">Custo variável</t>
  </si>
  <si>
    <t xml:space="preserve">% da receita</t>
  </si>
  <si>
    <t xml:space="preserve">Mão de obra direta, peças/materiais, parceiros. Cuidadores: salário + encargos do cuidador.</t>
  </si>
  <si>
    <t xml:space="preserve">Impostos sobre a receita</t>
  </si>
  <si>
    <t xml:space="preserve">Referência: Simples Nacional. Confirme CNAE, anexo e Fator R. Cessão de mão de obra (cuidadores) e clínicas exigem análise de enquadramento.</t>
  </si>
  <si>
    <t xml:space="preserve">Custos fixos mensais</t>
  </si>
  <si>
    <t xml:space="preserve">Aluguel, veículo, sistemas, contador, equipe fixa, marketing.</t>
  </si>
  <si>
    <t xml:space="preserve">Pró-labore mensal</t>
  </si>
  <si>
    <t xml:space="preserve">Retirada do(a) sócio(a). Ajuste para sua necessidade.</t>
  </si>
  <si>
    <t xml:space="preserve">Cenário</t>
  </si>
  <si>
    <t xml:space="preserve">Cenário escolhido</t>
  </si>
  <si>
    <t xml:space="preserve">Base</t>
  </si>
  <si>
    <t xml:space="preserve">Lista suspensa: Pessimista, Base ou Otimista (vale para todas as oportunidades).</t>
  </si>
  <si>
    <t xml:space="preserve">Fator novos clientes</t>
  </si>
  <si>
    <t xml:space="preserve">Fator ticket</t>
  </si>
  <si>
    <t xml:space="preserve">Pessimista</t>
  </si>
  <si>
    <t xml:space="preserve">Fatores multiplicam 'Novos clientes por mês' e os tickets (recorrente e implantação).</t>
  </si>
  <si>
    <t xml:space="preserve">Otimista</t>
  </si>
  <si>
    <t xml:space="preserve">Fator novos clientes (ativo)</t>
  </si>
  <si>
    <t xml:space="preserve">Fator ticket (ativo)</t>
  </si>
  <si>
    <t xml:space="preserve">Taxa mínima de atratividade (TMA)</t>
  </si>
  <si>
    <t xml:space="preserve">% ao mês. Custo de oportunidade do dinheiro (ex.: aplicação conservadora). Usada no VPL. Ajuste para sua realidade.</t>
  </si>
  <si>
    <t xml:space="preserve">Fluxo mensal - 1. BPO financeiro / controladoria</t>
  </si>
  <si>
    <t xml:space="preserve">Mês</t>
  </si>
  <si>
    <t xml:space="preserve">Clientes ativos</t>
  </si>
  <si>
    <t xml:space="preserve">Novos clientes (efetivos)</t>
  </si>
  <si>
    <t xml:space="preserve">Receita recorrente</t>
  </si>
  <si>
    <t xml:space="preserve">Receita de implantação</t>
  </si>
  <si>
    <t xml:space="preserve">Receita total</t>
  </si>
  <si>
    <t xml:space="preserve">Impostos</t>
  </si>
  <si>
    <t xml:space="preserve">Custos variáveis</t>
  </si>
  <si>
    <t xml:space="preserve">Margem de contribuição</t>
  </si>
  <si>
    <t xml:space="preserve">Custos fixos + pró-labore</t>
  </si>
  <si>
    <t xml:space="preserve">Resultado operacional</t>
  </si>
  <si>
    <t xml:space="preserve">Fluxo de caixa</t>
  </si>
  <si>
    <t xml:space="preserve">Caixa acumulado</t>
  </si>
  <si>
    <t xml:space="preserve">Payback atingido? (1=sim)</t>
  </si>
  <si>
    <t xml:space="preserve">Linhas cinza = fim de cada ano (meses 12, 24 e 36).</t>
  </si>
  <si>
    <t xml:space="preserve">Fluxo mensal - 2. Consultoria NR-1 psicossocial</t>
  </si>
  <si>
    <t xml:space="preserve">Fluxo mensal - 3. Agência de cuidadores</t>
  </si>
  <si>
    <t xml:space="preserve">Fluxo mensal - 4. Oficina de eletrificados</t>
  </si>
  <si>
    <t xml:space="preserve">Fluxo mensal - 5. Climatização / PMOC</t>
  </si>
  <si>
    <t xml:space="preserve">Fluxo mensal - 6. Carregadores VE</t>
  </si>
  <si>
    <t xml:space="preserve">Fluxo mensal - 7. Manutenção predial</t>
  </si>
  <si>
    <t xml:space="preserve">Fluxo mensal - 8. O&amp;M solar</t>
  </si>
  <si>
    <t xml:space="preserve">Fluxo mensal - 9. Síndico profissional</t>
  </si>
  <si>
    <t xml:space="preserve">Fluxo mensal - 10. Clínica TEA</t>
  </si>
  <si>
    <t xml:space="preserve">Validação de campo - concorrentes e cotações no Alto Tietê</t>
  </si>
  <si>
    <t xml:space="preserve">Lista de oportunidades (apoio à lista suspensa)</t>
  </si>
  <si>
    <t xml:space="preserve">Preencha uma linha por concorrente encontrado (Google Maps, indicações, cotação oculta). A linha 5 é um EXEMPLO fictício de formato: substitua pelos seus dados.</t>
  </si>
  <si>
    <t xml:space="preserve">Resumo por oportunidade</t>
  </si>
  <si>
    <t xml:space="preserve">Oportunidade</t>
  </si>
  <si>
    <t xml:space="preserve">Cidade</t>
  </si>
  <si>
    <t xml:space="preserve">Empresa</t>
  </si>
  <si>
    <t xml:space="preserve">Nota Google</t>
  </si>
  <si>
    <t xml:space="preserve">Nº avaliações</t>
  </si>
  <si>
    <t xml:space="preserve">Preço cotado (R$)</t>
  </si>
  <si>
    <t xml:space="preserve">Prazo para atender (dias)</t>
  </si>
  <si>
    <t xml:space="preserve">Pontos fracos / reclamações</t>
  </si>
  <si>
    <t xml:space="preserve">Data</t>
  </si>
  <si>
    <t xml:space="preserve">Concorrentes</t>
  </si>
  <si>
    <t xml:space="preserve">Nota média</t>
  </si>
  <si>
    <t xml:space="preserve">Preço médio (R$)</t>
  </si>
  <si>
    <t xml:space="preserve">Prazo médio (dias)</t>
  </si>
  <si>
    <t xml:space="preserve">Mogi das Cruzes</t>
  </si>
  <si>
    <t xml:space="preserve">Exemplo Ltda (fictício)</t>
  </si>
  <si>
    <t xml:space="preserve">Só faz lançamentos, sem relatório gerencial</t>
  </si>
  <si>
    <t xml:space="preserve">2026-10-20</t>
  </si>
  <si>
    <t xml:space="preserve">Use o preço médio para revisar o ticket na aba Premissas.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</si>
</sst>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&quot;R$ &quot;#,##0;&quot;(R$ &quot;#,##0\);\-"/>
    <numFmt numFmtId="166" formatCode="#,##0.0;\(#,##0.0\);\-"/>
    <numFmt numFmtId="167" formatCode="0.0%;\(0.0%\);\-"/>
    <numFmt numFmtId="168" formatCode="0"/>
    <numFmt numFmtId="169" formatCode="0.00\x"/>
    <numFmt numFmtId="170" formatCode="0.00%"/>
    <numFmt numFmtId="171" formatCode="0.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9"/>
      <name val="Arial"/>
      <family val="0"/>
      <charset val="1"/>
    </font>
    <font>
      <i val="true"/>
      <sz val="11"/>
      <color rgb="FF0000FF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3" t="s">
        <v>4</v>
      </c>
    </row>
    <row r="7" customFormat="false" ht="15" hidden="false" customHeight="false" outlineLevel="0" collapsed="false">
      <c r="A7" s="3" t="s">
        <v>5</v>
      </c>
    </row>
    <row r="8" customFormat="false" ht="15" hidden="false" customHeight="false" outlineLevel="0" collapsed="false">
      <c r="A8" s="3" t="s">
        <v>6</v>
      </c>
    </row>
    <row r="9" customFormat="false" ht="15" hidden="false" customHeight="false" outlineLevel="0" collapsed="false">
      <c r="A9" s="3" t="s">
        <v>7</v>
      </c>
    </row>
    <row r="11" customFormat="false" ht="1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4" t="s">
        <v>9</v>
      </c>
    </row>
    <row r="13" customFormat="false" ht="15" hidden="false" customHeight="false" outlineLevel="0" collapsed="false">
      <c r="A13" s="3" t="s">
        <v>10</v>
      </c>
    </row>
    <row r="14" customFormat="false" ht="15" hidden="false" customHeight="false" outlineLevel="0" collapsed="false">
      <c r="A14" s="5" t="s">
        <v>11</v>
      </c>
    </row>
    <row r="16" customFormat="false" ht="15" hidden="false" customHeight="false" outlineLevel="0" collapsed="false">
      <c r="A16" s="2" t="s">
        <v>12</v>
      </c>
    </row>
    <row r="17" customFormat="false" ht="15" hidden="false" customHeight="false" outlineLevel="0" collapsed="false">
      <c r="A17" s="3" t="s">
        <v>13</v>
      </c>
    </row>
    <row r="18" customFormat="false" ht="15" hidden="false" customHeight="false" outlineLevel="0" collapsed="false">
      <c r="A18" s="3" t="s">
        <v>14</v>
      </c>
    </row>
    <row r="19" customFormat="false" ht="15" hidden="false" customHeight="false" outlineLevel="0" collapsed="false">
      <c r="A19" s="3" t="s">
        <v>15</v>
      </c>
    </row>
    <row r="20" customFormat="false" ht="15" hidden="false" customHeight="false" outlineLevel="0" collapsed="false">
      <c r="A20" s="3" t="s">
        <v>16</v>
      </c>
    </row>
    <row r="22" customFormat="false" ht="15" hidden="false" customHeight="false" outlineLevel="0" collapsed="false">
      <c r="A22" s="2" t="s">
        <v>17</v>
      </c>
    </row>
    <row r="23" customFormat="false" ht="15" hidden="false" customHeight="false" outlineLevel="0" collapsed="false">
      <c r="A23" s="3" t="s">
        <v>18</v>
      </c>
    </row>
    <row r="24" customFormat="false" ht="15" hidden="false" customHeight="false" outlineLevel="0" collapsed="false">
      <c r="A24" s="3" t="s">
        <v>19</v>
      </c>
    </row>
    <row r="25" customFormat="false" ht="15" hidden="false" customHeight="false" outlineLevel="0" collapsed="false">
      <c r="A25" s="3" t="s">
        <v>20</v>
      </c>
    </row>
    <row r="26" customFormat="false" ht="15" hidden="false" customHeight="false" outlineLevel="0" collapsed="false">
      <c r="A26" s="3" t="s">
        <v>21</v>
      </c>
    </row>
    <row r="27" customFormat="false" ht="15" hidden="false" customHeight="false" outlineLevel="0" collapsed="false">
      <c r="A27" s="3" t="s">
        <v>22</v>
      </c>
    </row>
    <row r="28" customFormat="false" ht="15" hidden="false" customHeight="false" outlineLevel="0" collapsed="false">
      <c r="A28" s="3" t="s">
        <v>23</v>
      </c>
    </row>
    <row r="29" customFormat="false" ht="15" hidden="false" customHeight="false" outlineLevel="0" collapsed="false">
      <c r="A29" s="3" t="s">
        <v>24</v>
      </c>
    </row>
    <row r="30" customFormat="false" ht="15" hidden="false" customHeight="false" outlineLevel="0" collapsed="false">
      <c r="A30" s="3" t="s">
        <v>25</v>
      </c>
    </row>
    <row r="31" customFormat="false" ht="15" hidden="false" customHeight="false" outlineLevel="0" collapsed="false">
      <c r="A31" s="3" t="s">
        <v>26</v>
      </c>
    </row>
    <row r="32" customFormat="false" ht="15" hidden="false" customHeight="false" outlineLevel="0" collapsed="false">
      <c r="A32" s="3" t="s">
        <v>27</v>
      </c>
    </row>
    <row r="33" customFormat="false" ht="15" hidden="false" customHeight="false" outlineLevel="0" collapsed="false">
      <c r="A33" s="3" t="s">
        <v>28</v>
      </c>
    </row>
    <row r="34" customFormat="false" ht="15" hidden="false" customHeight="false" outlineLevel="0" collapsed="false">
      <c r="A34" s="3" t="s">
        <v>29</v>
      </c>
    </row>
    <row r="35" customFormat="false" ht="15" hidden="false" customHeight="false" outlineLevel="0" collapsed="false">
      <c r="A35" s="3" t="s">
        <v>30</v>
      </c>
    </row>
    <row r="36" customFormat="false" ht="15" hidden="false" customHeight="false" outlineLevel="0" collapsed="false">
      <c r="A36" s="3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11" min="2" style="0" width="17"/>
    <col collapsed="false" customWidth="true" hidden="false" outlineLevel="0" max="12" min="12" style="0" width="60"/>
  </cols>
  <sheetData>
    <row r="1" customFormat="false" ht="17.35" hidden="false" customHeight="false" outlineLevel="0" collapsed="false">
      <c r="A1" s="1" t="s">
        <v>32</v>
      </c>
    </row>
    <row r="2" customFormat="false" ht="15" hidden="false" customHeight="false" outlineLevel="0" collapsed="false">
      <c r="A2" s="0" t="s">
        <v>33</v>
      </c>
      <c r="B2" s="5" t="str">
        <f aca="false">Premissas!$B$19</f>
        <v>Base</v>
      </c>
    </row>
    <row r="4" customFormat="false" ht="45" hidden="false" customHeight="true" outlineLevel="0" collapsed="false">
      <c r="A4" s="6" t="s">
        <v>34</v>
      </c>
      <c r="B4" s="6" t="s">
        <v>35</v>
      </c>
      <c r="C4" s="6" t="s">
        <v>36</v>
      </c>
      <c r="D4" s="6" t="s">
        <v>37</v>
      </c>
      <c r="E4" s="6" t="s">
        <v>38</v>
      </c>
      <c r="F4" s="6" t="s">
        <v>39</v>
      </c>
      <c r="G4" s="6" t="s">
        <v>40</v>
      </c>
      <c r="H4" s="6" t="s">
        <v>41</v>
      </c>
      <c r="I4" s="6" t="s">
        <v>42</v>
      </c>
      <c r="J4" s="6" t="s">
        <v>43</v>
      </c>
      <c r="K4" s="6" t="s">
        <v>44</v>
      </c>
      <c r="L4" s="6" t="s">
        <v>45</v>
      </c>
    </row>
    <row r="5" customFormat="false" ht="15" hidden="false" customHeight="false" outlineLevel="0" collapsed="false">
      <c r="A5" s="7" t="s">
        <v>46</v>
      </c>
      <c r="B5" s="8" t="n">
        <f aca="false">Premissas!$B$6</f>
        <v>25000</v>
      </c>
      <c r="C5" s="8" t="n">
        <f aca="false">Premissas!$C$6</f>
        <v>40000</v>
      </c>
      <c r="D5" s="8" t="n">
        <f aca="false">Premissas!$D$6</f>
        <v>50000</v>
      </c>
      <c r="E5" s="8" t="n">
        <f aca="false">Premissas!$E$6</f>
        <v>250000</v>
      </c>
      <c r="F5" s="8" t="n">
        <f aca="false">Premissas!$F$6</f>
        <v>80000</v>
      </c>
      <c r="G5" s="8" t="n">
        <f aca="false">Premissas!$G$6</f>
        <v>50000</v>
      </c>
      <c r="H5" s="8" t="n">
        <f aca="false">Premissas!$H$6</f>
        <v>100000</v>
      </c>
      <c r="I5" s="8" t="n">
        <f aca="false">Premissas!$I$6</f>
        <v>70000</v>
      </c>
      <c r="J5" s="8" t="n">
        <f aca="false">Premissas!$J$6</f>
        <v>20000</v>
      </c>
      <c r="K5" s="8" t="n">
        <f aca="false">Premissas!$K$6</f>
        <v>600000</v>
      </c>
      <c r="L5" s="7" t="s">
        <v>47</v>
      </c>
    </row>
    <row r="6" customFormat="false" ht="15" hidden="false" customHeight="false" outlineLevel="0" collapsed="false">
      <c r="A6" s="7" t="s">
        <v>48</v>
      </c>
      <c r="B6" s="9" t="n">
        <f aca="false">'Fluxo 01 BPO'!B17</f>
        <v>21.52832762652</v>
      </c>
      <c r="C6" s="9" t="n">
        <f aca="false">'Fluxo 02 NR-1'!B17</f>
        <v>14.9502312486841</v>
      </c>
      <c r="D6" s="9" t="n">
        <f aca="false">'Fluxo 03 Cuidadores'!B17</f>
        <v>14.0735974162591</v>
      </c>
      <c r="E6" s="9" t="n">
        <f aca="false">'Fluxo 04 Eletrificados'!B17</f>
        <v>165.466113952649</v>
      </c>
      <c r="F6" s="9" t="n">
        <f aca="false">'Fluxo 05 Climatizacao'!B17</f>
        <v>32.29249143978</v>
      </c>
      <c r="G6" s="9" t="n">
        <f aca="false">'Fluxo 06 Carregadores'!B17</f>
        <v>43.6553748050309</v>
      </c>
      <c r="H6" s="9" t="n">
        <f aca="false">'Fluxo 07 Predial'!B17</f>
        <v>15.6655326517721</v>
      </c>
      <c r="I6" s="9" t="n">
        <f aca="false">'Fluxo 08 Solar'!B17</f>
        <v>157.458800445151</v>
      </c>
      <c r="J6" s="9" t="n">
        <f aca="false">'Fluxo 09 Sindico'!B17</f>
        <v>5.95235163145006</v>
      </c>
      <c r="K6" s="9" t="n">
        <f aca="false">'Fluxo 10 TEA'!B17</f>
        <v>43.8573866037898</v>
      </c>
      <c r="L6" s="7" t="s">
        <v>49</v>
      </c>
    </row>
    <row r="7" customFormat="false" ht="15" hidden="false" customHeight="false" outlineLevel="0" collapsed="false">
      <c r="A7" s="7" t="s">
        <v>50</v>
      </c>
      <c r="B7" s="9" t="n">
        <f aca="false">'Fluxo 01 BPO'!B41</f>
        <v>40</v>
      </c>
      <c r="C7" s="9" t="n">
        <f aca="false">'Fluxo 02 NR-1'!B41</f>
        <v>30</v>
      </c>
      <c r="D7" s="9" t="n">
        <f aca="false">'Fluxo 03 Cuidadores'!B41</f>
        <v>25.349665248347</v>
      </c>
      <c r="E7" s="9" t="n">
        <f aca="false">'Fluxo 04 Eletrificados'!B41</f>
        <v>300</v>
      </c>
      <c r="F7" s="9" t="n">
        <f aca="false">'Fluxo 05 Climatizacao'!B41</f>
        <v>77.5180307691425</v>
      </c>
      <c r="G7" s="9" t="n">
        <f aca="false">'Fluxo 06 Carregadores'!B41</f>
        <v>120.027817390171</v>
      </c>
      <c r="H7" s="9" t="n">
        <f aca="false">'Fluxo 07 Predial'!B41</f>
        <v>33.4707961133973</v>
      </c>
      <c r="I7" s="9" t="n">
        <f aca="false">'Fluxo 08 Solar'!B41</f>
        <v>385.124780742622</v>
      </c>
      <c r="J7" s="9" t="n">
        <f aca="false">'Fluxo 09 Sindico'!B41</f>
        <v>12</v>
      </c>
      <c r="K7" s="9" t="n">
        <f aca="false">'Fluxo 10 TEA'!B41</f>
        <v>80</v>
      </c>
      <c r="L7" s="7"/>
    </row>
    <row r="8" customFormat="false" ht="15" hidden="false" customHeight="false" outlineLevel="0" collapsed="false">
      <c r="A8" s="7" t="s">
        <v>51</v>
      </c>
      <c r="B8" s="8" t="n">
        <f aca="false">'Fluxo 01 BPO'!F17</f>
        <v>34292.49143978</v>
      </c>
      <c r="C8" s="8" t="n">
        <f aca="false">'Fluxo 02 NR-1'!F17</f>
        <v>29940.2774984209</v>
      </c>
      <c r="D8" s="8" t="n">
        <f aca="false">'Fluxo 03 Cuidadores'!F17</f>
        <v>77404.7857894252</v>
      </c>
      <c r="E8" s="8" t="n">
        <f aca="false">'Fluxo 04 Eletrificados'!F17</f>
        <v>57913.1398834271</v>
      </c>
      <c r="F8" s="8" t="n">
        <f aca="false">'Fluxo 05 Climatizacao'!F17</f>
        <v>23875.494863868</v>
      </c>
      <c r="G8" s="8" t="n">
        <f aca="false">'Fluxo 06 Carregadores'!F17</f>
        <v>27492.4299844025</v>
      </c>
      <c r="H8" s="8" t="n">
        <f aca="false">'Fluxo 07 Predial'!F17</f>
        <v>39163.8316294303</v>
      </c>
      <c r="I8" s="8" t="n">
        <f aca="false">'Fluxo 08 Solar'!F17</f>
        <v>29618.8200667727</v>
      </c>
      <c r="J8" s="8" t="n">
        <f aca="false">'Fluxo 09 Sindico'!F17</f>
        <v>20833.2307100752</v>
      </c>
      <c r="K8" s="8" t="n">
        <f aca="false">'Fluxo 10 TEA'!F17</f>
        <v>181429.546415159</v>
      </c>
      <c r="L8" s="7"/>
    </row>
    <row r="9" customFormat="false" ht="15" hidden="false" customHeight="false" outlineLevel="0" collapsed="false">
      <c r="A9" s="7" t="s">
        <v>52</v>
      </c>
      <c r="B9" s="8" t="n">
        <f aca="false">'Fluxo 01 BPO'!F41</f>
        <v>60800</v>
      </c>
      <c r="C9" s="8" t="n">
        <f aca="false">'Fluxo 02 NR-1'!F41</f>
        <v>43200</v>
      </c>
      <c r="D9" s="8" t="n">
        <f aca="false">'Fluxo 03 Cuidadores'!F41</f>
        <v>139423.158865908</v>
      </c>
      <c r="E9" s="8" t="n">
        <f aca="false">'Fluxo 04 Eletrificados'!F41</f>
        <v>105000</v>
      </c>
      <c r="F9" s="8" t="n">
        <f aca="false">'Fluxo 05 Climatizacao'!F41</f>
        <v>51010.8184614855</v>
      </c>
      <c r="G9" s="8" t="n">
        <f aca="false">'Fluxo 06 Carregadores'!F41</f>
        <v>33602.2253912137</v>
      </c>
      <c r="H9" s="8" t="n">
        <f aca="false">'Fluxo 07 Predial'!F41</f>
        <v>83676.9902834934</v>
      </c>
      <c r="I9" s="8" t="n">
        <f aca="false">'Fluxo 08 Solar'!F41</f>
        <v>63768.7171113933</v>
      </c>
      <c r="J9" s="8" t="n">
        <f aca="false">'Fluxo 09 Sindico'!F41</f>
        <v>42000</v>
      </c>
      <c r="K9" s="8" t="n">
        <f aca="false">'Fluxo 10 TEA'!F41</f>
        <v>322400</v>
      </c>
      <c r="L9" s="7"/>
    </row>
    <row r="10" customFormat="false" ht="15" hidden="false" customHeight="false" outlineLevel="0" collapsed="false">
      <c r="A10" s="7" t="s">
        <v>53</v>
      </c>
      <c r="B10" s="8" t="n">
        <f aca="false">'Fluxo 01 BPO'!K17</f>
        <v>13947.1945214592</v>
      </c>
      <c r="C10" s="8" t="n">
        <f aca="false">'Fluxo 02 NR-1'!K17</f>
        <v>7664.76372406831</v>
      </c>
      <c r="D10" s="8" t="n">
        <f aca="false">'Fluxo 03 Cuidadores'!K17</f>
        <v>-2485.47356316324</v>
      </c>
      <c r="E10" s="8" t="n">
        <f aca="false">'Fluxo 04 Eletrificados'!K17</f>
        <v>-3780.82425478926</v>
      </c>
      <c r="F10" s="8" t="n">
        <f aca="false">'Fluxo 05 Climatizacao'!K17</f>
        <v>2280.31671287552</v>
      </c>
      <c r="G10" s="8" t="n">
        <f aca="false">'Fluxo 06 Carregadores'!K17</f>
        <v>1722.04769391696</v>
      </c>
      <c r="H10" s="8" t="n">
        <f aca="false">'Fluxo 07 Predial'!K17</f>
        <v>6190.27749842087</v>
      </c>
      <c r="I10" s="8" t="n">
        <f aca="false">'Fluxo 08 Solar'!K17</f>
        <v>8956.0448427345</v>
      </c>
      <c r="J10" s="8" t="n">
        <f aca="false">'Fluxo 09 Sindico'!K17</f>
        <v>10999.9137964632</v>
      </c>
      <c r="K10" s="8" t="n">
        <f aca="false">'Fluxo 10 TEA'!K17</f>
        <v>27757.5231019121</v>
      </c>
      <c r="L10" s="7" t="s">
        <v>54</v>
      </c>
    </row>
    <row r="11" customFormat="false" ht="15" hidden="false" customHeight="false" outlineLevel="0" collapsed="false">
      <c r="A11" s="7" t="s">
        <v>55</v>
      </c>
      <c r="B11" s="8" t="n">
        <f aca="false">'Fluxo 01 BPO'!K41</f>
        <v>30912</v>
      </c>
      <c r="C11" s="8" t="n">
        <f aca="false">'Fluxo 02 NR-1'!K41</f>
        <v>15488</v>
      </c>
      <c r="D11" s="8" t="n">
        <f aca="false">'Fluxo 03 Cuidadores'!K41</f>
        <v>4336.54747524993</v>
      </c>
      <c r="E11" s="8" t="n">
        <f aca="false">'Fluxo 04 Eletrificados'!K41</f>
        <v>18350</v>
      </c>
      <c r="F11" s="8" t="n">
        <f aca="false">'Fluxo 05 Climatizacao'!K41</f>
        <v>19646.9238153507</v>
      </c>
      <c r="G11" s="8" t="n">
        <f aca="false">'Fluxo 06 Carregadores'!K41</f>
        <v>4104.86790257335</v>
      </c>
      <c r="H11" s="8" t="n">
        <f aca="false">'Fluxo 07 Predial'!K41</f>
        <v>28001.7252389118</v>
      </c>
      <c r="I11" s="8" t="n">
        <f aca="false">'Fluxo 08 Solar'!K41</f>
        <v>30811.9789512917</v>
      </c>
      <c r="J11" s="8" t="n">
        <f aca="false">'Fluxo 09 Sindico'!K41</f>
        <v>28780</v>
      </c>
      <c r="K11" s="8" t="n">
        <f aca="false">'Fluxo 10 TEA'!K41</f>
        <v>82736</v>
      </c>
      <c r="L11" s="7"/>
    </row>
    <row r="12" customFormat="false" ht="15" hidden="false" customHeight="false" outlineLevel="0" collapsed="false">
      <c r="A12" s="7" t="s">
        <v>56</v>
      </c>
      <c r="B12" s="10" t="n">
        <f aca="false">IFERROR('Fluxo 01 BPO'!K17/'Fluxo 01 BPO'!F17,0)</f>
        <v>0.406712779850115</v>
      </c>
      <c r="C12" s="10" t="n">
        <f aca="false">IFERROR('Fluxo 02 NR-1'!K17/'Fluxo 02 NR-1'!F17,0)</f>
        <v>0.256001759652113</v>
      </c>
      <c r="D12" s="10" t="n">
        <f aca="false">IFERROR('Fluxo 03 Cuidadores'!K17/'Fluxo 03 Cuidadores'!F17,0)</f>
        <v>-0.03211007611241</v>
      </c>
      <c r="E12" s="10" t="n">
        <f aca="false">IFERROR('Fluxo 04 Eletrificados'!K17/'Fluxo 04 Eletrificados'!F17,0)</f>
        <v>-0.0652843942220996</v>
      </c>
      <c r="F12" s="10" t="n">
        <f aca="false">IFERROR('Fluxo 05 Climatizacao'!K17/'Fluxo 05 Climatizacao'!F17,0)</f>
        <v>0.0955086680245712</v>
      </c>
      <c r="G12" s="10" t="n">
        <f aca="false">IFERROR('Fluxo 06 Carregadores'!K17/'Fluxo 06 Carregadores'!F17,0)</f>
        <v>0.062637158479405</v>
      </c>
      <c r="H12" s="10" t="n">
        <f aca="false">IFERROR('Fluxo 07 Predial'!K17/'Fluxo 07 Predial'!F17,0)</f>
        <v>0.158061079339568</v>
      </c>
      <c r="I12" s="10" t="n">
        <f aca="false">IFERROR('Fluxo 08 Solar'!K17/'Fluxo 08 Solar'!F17,0)</f>
        <v>0.302376827386911</v>
      </c>
      <c r="J12" s="10" t="n">
        <f aca="false">IFERROR('Fluxo 09 Sindico'!K17/'Fluxo 09 Sindico'!F17,0)</f>
        <v>0.527998463106516</v>
      </c>
      <c r="K12" s="10" t="n">
        <f aca="false">IFERROR('Fluxo 10 TEA'!K17/'Fluxo 10 TEA'!F17,0)</f>
        <v>0.152993399643934</v>
      </c>
      <c r="L12" s="7" t="s">
        <v>57</v>
      </c>
    </row>
    <row r="13" customFormat="false" ht="15" hidden="false" customHeight="false" outlineLevel="0" collapsed="false">
      <c r="A13" s="7" t="s">
        <v>58</v>
      </c>
      <c r="B13" s="10" t="n">
        <f aca="false">IFERROR('Fluxo 01 BPO'!K41/'Fluxo 01 BPO'!F41,0)</f>
        <v>0.508421052631579</v>
      </c>
      <c r="C13" s="10" t="n">
        <f aca="false">IFERROR('Fluxo 02 NR-1'!K41/'Fluxo 02 NR-1'!F41,0)</f>
        <v>0.358518518518519</v>
      </c>
      <c r="D13" s="10" t="n">
        <f aca="false">IFERROR('Fluxo 03 Cuidadores'!K41/'Fluxo 03 Cuidadores'!F41,0)</f>
        <v>0.0311034946455391</v>
      </c>
      <c r="E13" s="10" t="n">
        <f aca="false">IFERROR('Fluxo 04 Eletrificados'!K41/'Fluxo 04 Eletrificados'!F41,0)</f>
        <v>0.174761904761905</v>
      </c>
      <c r="F13" s="10" t="n">
        <f aca="false">IFERROR('Fluxo 05 Climatizacao'!K41/'Fluxo 05 Climatizacao'!F41,0)</f>
        <v>0.3851520992588</v>
      </c>
      <c r="G13" s="10" t="n">
        <f aca="false">IFERROR('Fluxo 06 Carregadores'!K41/'Fluxo 06 Carregadores'!F41,0)</f>
        <v>0.122160596650443</v>
      </c>
      <c r="H13" s="10" t="n">
        <f aca="false">IFERROR('Fluxo 07 Predial'!K41/'Fluxo 07 Predial'!F41,0)</f>
        <v>0.334640683705799</v>
      </c>
      <c r="I13" s="10" t="n">
        <f aca="false">IFERROR('Fluxo 08 Solar'!K41/'Fluxo 08 Solar'!F41,0)</f>
        <v>0.483183296560104</v>
      </c>
      <c r="J13" s="10" t="n">
        <f aca="false">IFERROR('Fluxo 09 Sindico'!K41/'Fluxo 09 Sindico'!F41,0)</f>
        <v>0.685238095238095</v>
      </c>
      <c r="K13" s="10" t="n">
        <f aca="false">IFERROR('Fluxo 10 TEA'!K41/'Fluxo 10 TEA'!F41,0)</f>
        <v>0.256625310173697</v>
      </c>
      <c r="L13" s="7"/>
    </row>
    <row r="14" customFormat="false" ht="15" hidden="false" customHeight="false" outlineLevel="0" collapsed="false">
      <c r="A14" s="7" t="s">
        <v>59</v>
      </c>
      <c r="B14" s="8" t="n">
        <f aca="false">SUM('Fluxo 01 BPO'!F5:F41)</f>
        <v>1554605.30739322</v>
      </c>
      <c r="C14" s="8" t="n">
        <f aca="false">SUM('Fluxo 02 NR-1'!F5:F41)</f>
        <v>1243168.62521351</v>
      </c>
      <c r="D14" s="8" t="n">
        <f aca="false">SUM('Fluxo 03 Cuidadores'!F5:F41)</f>
        <v>3345959.98154774</v>
      </c>
      <c r="E14" s="8" t="n">
        <f aca="false">SUM('Fluxo 04 Eletrificados'!F5:F41)</f>
        <v>2651593.79890348</v>
      </c>
      <c r="F14" s="8" t="n">
        <f aca="false">SUM('Fluxo 05 Climatizacao'!F5:F41)</f>
        <v>1122969.89538721</v>
      </c>
      <c r="G14" s="8" t="n">
        <f aca="false">SUM('Fluxo 06 Carregadores'!F5:F41)</f>
        <v>1037379.68626984</v>
      </c>
      <c r="H14" s="8" t="n">
        <f aca="false">SUM('Fluxo 07 Predial'!F5:F41)</f>
        <v>1836110.64750038</v>
      </c>
      <c r="I14" s="8" t="n">
        <f aca="false">SUM('Fluxo 08 Solar'!F5:F41)</f>
        <v>1395832.86154173</v>
      </c>
      <c r="J14" s="8" t="n">
        <f aca="false">SUM('Fluxo 09 Sindico'!F5:F41)</f>
        <v>999527.875430799</v>
      </c>
      <c r="K14" s="8" t="n">
        <f aca="false">SUM('Fluxo 10 TEA'!F5:F41)</f>
        <v>8233137.89483731</v>
      </c>
      <c r="L14" s="7"/>
    </row>
    <row r="15" customFormat="false" ht="15" hidden="false" customHeight="false" outlineLevel="0" collapsed="false">
      <c r="A15" s="7" t="s">
        <v>60</v>
      </c>
      <c r="B15" s="8" t="n">
        <f aca="false">'Fluxo 01 BPO'!M41</f>
        <v>681947.396731664</v>
      </c>
      <c r="C15" s="8" t="n">
        <f aca="false">'Fluxo 02 NR-1'!M41</f>
        <v>333469.488875969</v>
      </c>
      <c r="D15" s="8" t="n">
        <f aca="false">'Fluxo 03 Cuidadores'!M41</f>
        <v>-77944.4020297489</v>
      </c>
      <c r="E15" s="8" t="n">
        <f aca="false">'Fluxo 04 Eletrificados'!M41</f>
        <v>-119750.914515366</v>
      </c>
      <c r="F15" s="8" t="n">
        <f aca="false">'Fluxo 05 Climatizacao'!M41</f>
        <v>170700.733047815</v>
      </c>
      <c r="G15" s="8" t="n">
        <f aca="false">'Fluxo 06 Carregadores'!M41</f>
        <v>30578.0776452386</v>
      </c>
      <c r="H15" s="8" t="n">
        <f aca="false">'Fluxo 07 Predial'!M41</f>
        <v>331694.217275186</v>
      </c>
      <c r="I15" s="8" t="n">
        <f aca="false">'Fluxo 08 Solar'!M41</f>
        <v>463333.031386706</v>
      </c>
      <c r="J15" s="8" t="n">
        <f aca="false">'Fluxo 09 Sindico'!M41</f>
        <v>585603.415361871</v>
      </c>
      <c r="K15" s="8" t="n">
        <f aca="false">'Fluxo 10 TEA'!M41</f>
        <v>1062923.77898655</v>
      </c>
      <c r="L15" s="7" t="s">
        <v>61</v>
      </c>
    </row>
    <row r="16" customFormat="false" ht="15" hidden="false" customHeight="false" outlineLevel="0" collapsed="false">
      <c r="A16" s="7" t="s">
        <v>62</v>
      </c>
      <c r="B16" s="9" t="n">
        <f aca="false">IFERROR((Premissas!$B$15+Premissas!$B$16)/(Premissas!$B$7*Premissas!$B$27*(1-Premissas!$B$14-Premissas!$B$13)),"n/d")</f>
        <v>8.33333333333333</v>
      </c>
      <c r="C16" s="9" t="n">
        <f aca="false">IFERROR((Premissas!$C$15+Premissas!$C$16)/(Premissas!$C$7*Premissas!$B$27*(1-Premissas!$C$14-Premissas!$C$13)),"n/d")</f>
        <v>14.1242937853107</v>
      </c>
      <c r="D16" s="9" t="n">
        <f aca="false">IFERROR((Premissas!$D$15+Premissas!$D$16)/(Premissas!$D$7*Premissas!$B$27*(1-Premissas!$D$14-Premissas!$D$13)),"n/d")</f>
        <v>18.1818181818182</v>
      </c>
      <c r="E16" s="9" t="n">
        <f aca="false">IFERROR((Premissas!$E$15+Premissas!$E$16)/(Premissas!$E$7*Premissas!$B$27*(1-Premissas!$E$14-Premissas!$E$13)),"n/d")</f>
        <v>188.449848024316</v>
      </c>
      <c r="F16" s="9" t="n">
        <f aca="false">IFERROR((Premissas!$F$15+Premissas!$F$16)/(Premissas!$F$7*Premissas!$B$27*(1-Premissas!$F$14-Premissas!$F$13)),"n/d")</f>
        <v>33.8541666666667</v>
      </c>
      <c r="G16" s="9" t="n">
        <f aca="false">IFERROR((Premissas!$G$15+Premissas!$G$16)/(Premissas!$G$7*Premissas!$B$27*(1-Premissas!$G$14-Premissas!$G$13)),"n/d")</f>
        <v>288.461538461539</v>
      </c>
      <c r="H16" s="9" t="n">
        <f aca="false">IFERROR((Premissas!$H$15+Premissas!$H$16)/(Premissas!$H$7*Premissas!$B$27*(1-Premissas!$H$14-Premissas!$H$13)),"n/d")</f>
        <v>10.6122448979592</v>
      </c>
      <c r="I16" s="9" t="n">
        <f aca="false">IFERROR((Premissas!$I$15+Premissas!$I$16)/(Premissas!$I$7*Premissas!$B$27*(1-Premissas!$I$14-Premissas!$I$13)),"n/d")</f>
        <v>104.166666666667</v>
      </c>
      <c r="J16" s="9" t="n">
        <f aca="false">IFERROR((Premissas!$J$15+Premissas!$J$16)/(Premissas!$J$7*Premissas!$B$27*(1-Premissas!$J$14-Premissas!$J$13)),"n/d")</f>
        <v>2.2108843537415</v>
      </c>
      <c r="K16" s="9" t="n">
        <f aca="false">IFERROR((Premissas!$K$15+Premissas!$K$16)/(Premissas!$K$7*Premissas!$B$27*(1-Premissas!$K$14-Premissas!$K$13)),"n/d")</f>
        <v>27.5641025641026</v>
      </c>
      <c r="L16" s="7" t="s">
        <v>63</v>
      </c>
    </row>
    <row r="17" customFormat="false" ht="15" hidden="false" customHeight="false" outlineLevel="0" collapsed="false">
      <c r="A17" s="7" t="s">
        <v>64</v>
      </c>
      <c r="B17" s="11" t="str">
        <f aca="false">IF(ISNUMBER(B16),IF(Premissas!$B$11&gt;=B16,"Sim","Não - rever estrutura"),"n/d")</f>
        <v>Sim</v>
      </c>
      <c r="C17" s="11" t="str">
        <f aca="false">IF(ISNUMBER(C16),IF(Premissas!$C$11&gt;=C16,"Sim","Não - rever estrutura"),"n/d")</f>
        <v>Sim</v>
      </c>
      <c r="D17" s="11" t="str">
        <f aca="false">IF(ISNUMBER(D16),IF(Premissas!$D$11&gt;=D16,"Sim","Não - rever estrutura"),"n/d")</f>
        <v>Sim</v>
      </c>
      <c r="E17" s="11" t="str">
        <f aca="false">IF(ISNUMBER(E16),IF(Premissas!$E$11&gt;=E16,"Sim","Não - rever estrutura"),"n/d")</f>
        <v>Sim</v>
      </c>
      <c r="F17" s="11" t="str">
        <f aca="false">IF(ISNUMBER(F16),IF(Premissas!$F$11&gt;=F16,"Sim","Não - rever estrutura"),"n/d")</f>
        <v>Sim</v>
      </c>
      <c r="G17" s="11" t="str">
        <f aca="false">IF(ISNUMBER(G16),IF(Premissas!$G$11&gt;=G16,"Sim","Não - rever estrutura"),"n/d")</f>
        <v>Sim</v>
      </c>
      <c r="H17" s="11" t="str">
        <f aca="false">IF(ISNUMBER(H16),IF(Premissas!$H$11&gt;=H16,"Sim","Não - rever estrutura"),"n/d")</f>
        <v>Sim</v>
      </c>
      <c r="I17" s="11" t="str">
        <f aca="false">IF(ISNUMBER(I16),IF(Premissas!$I$11&gt;=I16,"Sim","Não - rever estrutura"),"n/d")</f>
        <v>Sim</v>
      </c>
      <c r="J17" s="11" t="str">
        <f aca="false">IF(ISNUMBER(J16),IF(Premissas!$J$11&gt;=J16,"Sim","Não - rever estrutura"),"n/d")</f>
        <v>Sim</v>
      </c>
      <c r="K17" s="11" t="str">
        <f aca="false">IF(ISNUMBER(K16),IF(Premissas!$K$11&gt;=K16,"Sim","Não - rever estrutura"),"n/d")</f>
        <v>Sim</v>
      </c>
      <c r="L17" s="7" t="s">
        <v>65</v>
      </c>
    </row>
    <row r="18" customFormat="false" ht="15" hidden="false" customHeight="false" outlineLevel="0" collapsed="false">
      <c r="A18" s="7" t="s">
        <v>66</v>
      </c>
      <c r="B18" s="12" t="n">
        <f aca="false">IFERROR(MATCH(1,'Fluxo 01 BPO'!N5:N41,0)-1,"Acima de 36")</f>
        <v>10</v>
      </c>
      <c r="C18" s="12" t="n">
        <f aca="false">IFERROR(MATCH(1,'Fluxo 02 NR-1'!N5:N41,0)-1,"Acima de 36")</f>
        <v>13</v>
      </c>
      <c r="D18" s="12" t="str">
        <f aca="false">IFERROR(MATCH(1,'Fluxo 03 Cuidadores'!N5:N41,0)-1,"Acima de 36")</f>
        <v>Acima de 36</v>
      </c>
      <c r="E18" s="12" t="str">
        <f aca="false">IFERROR(MATCH(1,'Fluxo 04 Eletrificados'!N5:N41,0)-1,"Acima de 36")</f>
        <v>Acima de 36</v>
      </c>
      <c r="F18" s="12" t="n">
        <f aca="false">IFERROR(MATCH(1,'Fluxo 05 Climatizacao'!N5:N41,0)-1,"Acima de 36")</f>
        <v>26</v>
      </c>
      <c r="G18" s="12" t="n">
        <f aca="false">IFERROR(MATCH(1,'Fluxo 06 Carregadores'!N5:N41,0)-1,"Acima de 36")</f>
        <v>28</v>
      </c>
      <c r="H18" s="12" t="n">
        <f aca="false">IFERROR(MATCH(1,'Fluxo 07 Predial'!N5:N41,0)-1,"Acima de 36")</f>
        <v>22</v>
      </c>
      <c r="I18" s="12" t="n">
        <f aca="false">IFERROR(MATCH(1,'Fluxo 08 Solar'!N5:N41,0)-1,"Acima de 36")</f>
        <v>16</v>
      </c>
      <c r="J18" s="12" t="n">
        <f aca="false">IFERROR(MATCH(1,'Fluxo 09 Sindico'!N5:N41,0)-1,"Acima de 36")</f>
        <v>10</v>
      </c>
      <c r="K18" s="12" t="n">
        <f aca="false">IFERROR(MATCH(1,'Fluxo 10 TEA'!N5:N41,0)-1,"Acima de 36")</f>
        <v>24</v>
      </c>
      <c r="L18" s="7" t="s">
        <v>67</v>
      </c>
    </row>
    <row r="19" customFormat="false" ht="15" hidden="false" customHeight="false" outlineLevel="0" collapsed="false">
      <c r="A19" s="7" t="s">
        <v>68</v>
      </c>
      <c r="B19" s="8" t="n">
        <f aca="false">NPV(Premissas!$B$29,'Fluxo 01 BPO'!L6:L41)+'Fluxo 01 BPO'!L5</f>
        <v>505408.625971292</v>
      </c>
      <c r="C19" s="8" t="n">
        <f aca="false">NPV(Premissas!$B$29,'Fluxo 02 NR-1'!L6:L41)+'Fluxo 02 NR-1'!L5</f>
        <v>240636.86757266</v>
      </c>
      <c r="D19" s="8" t="n">
        <f aca="false">NPV(Premissas!$B$29,'Fluxo 03 Cuidadores'!L6:L41)+'Fluxo 03 Cuidadores'!L5</f>
        <v>-87149.9733464376</v>
      </c>
      <c r="E19" s="8" t="n">
        <f aca="false">NPV(Premissas!$B$29,'Fluxo 04 Eletrificados'!L6:L41)+'Fluxo 04 Eletrificados'!L5</f>
        <v>-197541.723523696</v>
      </c>
      <c r="F19" s="8" t="n">
        <f aca="false">NPV(Premissas!$B$29,'Fluxo 05 Climatizacao'!L6:L41)+'Fluxo 05 Climatizacao'!L5</f>
        <v>92150.8426201697</v>
      </c>
      <c r="G19" s="8" t="n">
        <f aca="false">NPV(Premissas!$B$29,'Fluxo 06 Carregadores'!L6:L41)+'Fluxo 06 Carregadores'!L5</f>
        <v>10345.4235230616</v>
      </c>
      <c r="H19" s="8" t="n">
        <f aca="false">NPV(Premissas!$B$29,'Fluxo 07 Predial'!L6:L41)+'Fluxo 07 Predial'!L5</f>
        <v>208126.710347023</v>
      </c>
      <c r="I19" s="8" t="n">
        <f aca="false">NPV(Premissas!$B$29,'Fluxo 08 Solar'!L6:L41)+'Fluxo 08 Solar'!L5</f>
        <v>322456.672715915</v>
      </c>
      <c r="J19" s="8" t="n">
        <f aca="false">NPV(Premissas!$B$29,'Fluxo 09 Sindico'!L6:L41)+'Fluxo 09 Sindico'!L5</f>
        <v>431834.299663878</v>
      </c>
      <c r="K19" s="8" t="n">
        <f aca="false">NPV(Premissas!$B$29,'Fluxo 10 TEA'!L6:L41)+'Fluxo 10 TEA'!L5</f>
        <v>611607.317870151</v>
      </c>
      <c r="L19" s="7" t="s">
        <v>69</v>
      </c>
    </row>
    <row r="20" customFormat="false" ht="15" hidden="false" customHeight="false" outlineLevel="0" collapsed="false">
      <c r="A20" s="7" t="s">
        <v>70</v>
      </c>
      <c r="B20" s="10" t="n">
        <f aca="false">IFERROR(IRR('Fluxo 01 BPO'!L5:L41),"n/d")</f>
        <v>0.178694186746988</v>
      </c>
      <c r="C20" s="10" t="n">
        <f aca="false">IFERROR(IRR('Fluxo 02 NR-1'!L5:L41),"n/d")</f>
        <v>0.109558241320612</v>
      </c>
      <c r="D20" s="10" t="str">
        <f aca="false">IFERROR(IRR('Fluxo 03 Cuidadores'!L5:L41),"n/d")</f>
        <v>n/d</v>
      </c>
      <c r="E20" s="10" t="str">
        <f aca="false">IFERROR(IRR('Fluxo 04 Eletrificados'!L5:L41),"n/d")</f>
        <v>n/d</v>
      </c>
      <c r="F20" s="10" t="n">
        <f aca="false">IFERROR(IRR('Fluxo 05 Climatizacao'!L5:L41),"n/d")</f>
        <v>0.0352879110719482</v>
      </c>
      <c r="G20" s="10" t="n">
        <f aca="false">IFERROR(IRR('Fluxo 06 Carregadores'!L5:L41),"n/d")</f>
        <v>0.0200694345164417</v>
      </c>
      <c r="H20" s="10" t="n">
        <f aca="false">IFERROR(IRR('Fluxo 07 Predial'!L5:L41),"n/d")</f>
        <v>0.0519413215164353</v>
      </c>
      <c r="I20" s="10" t="n">
        <f aca="false">IFERROR(IRR('Fluxo 08 Solar'!L5:L41),"n/d")</f>
        <v>0.0870283448017616</v>
      </c>
      <c r="J20" s="10" t="n">
        <f aca="false">IFERROR(IRR('Fluxo 09 Sindico'!L5:L41),"n/d")</f>
        <v>0.180502134054604</v>
      </c>
      <c r="K20" s="10" t="n">
        <f aca="false">IFERROR(IRR('Fluxo 10 TEA'!L5:L41),"n/d")</f>
        <v>0.0392782926324182</v>
      </c>
      <c r="L20" s="7" t="s">
        <v>71</v>
      </c>
    </row>
    <row r="21" customFormat="false" ht="15" hidden="false" customHeight="false" outlineLevel="0" collapsed="false">
      <c r="A21" s="7" t="s">
        <v>72</v>
      </c>
      <c r="B21" s="10" t="n">
        <f aca="false">IFERROR((1+IRR('Fluxo 01 BPO'!L5:L41))^12-1,"n/d")</f>
        <v>6.19140420099819</v>
      </c>
      <c r="C21" s="10" t="n">
        <f aca="false">IFERROR((1+IRR('Fluxo 02 NR-1'!L5:L41))^12-1,"n/d")</f>
        <v>2.48177932637616</v>
      </c>
      <c r="D21" s="10" t="str">
        <f aca="false">IFERROR((1+IRR('Fluxo 03 Cuidadores'!L5:L41))^12-1,"n/d")</f>
        <v>n/d</v>
      </c>
      <c r="E21" s="10" t="str">
        <f aca="false">IFERROR((1+IRR('Fluxo 04 Eletrificados'!L5:L41))^12-1,"n/d")</f>
        <v>n/d</v>
      </c>
      <c r="F21" s="10" t="n">
        <f aca="false">IFERROR((1+IRR('Fluxo 05 Climatizacao'!L5:L41))^12-1,"n/d")</f>
        <v>0.516120479140705</v>
      </c>
      <c r="G21" s="10" t="n">
        <f aca="false">IFERROR((1+IRR('Fluxo 06 Carregadores'!L5:L41))^12-1,"n/d")</f>
        <v>0.269278179656078</v>
      </c>
      <c r="H21" s="10" t="n">
        <f aca="false">IFERROR((1+IRR('Fluxo 07 Predial'!L5:L41))^12-1,"n/d")</f>
        <v>0.836107821541866</v>
      </c>
      <c r="I21" s="10" t="n">
        <f aca="false">IFERROR((1+IRR('Fluxo 08 Solar'!L5:L41))^12-1,"n/d")</f>
        <v>1.72201443604211</v>
      </c>
      <c r="J21" s="10" t="n">
        <f aca="false">IFERROR((1+IRR('Fluxo 09 Sindico'!L5:L41))^12-1,"n/d")</f>
        <v>6.32489355868345</v>
      </c>
      <c r="K21" s="10" t="n">
        <f aca="false">IFERROR((1+IRR('Fluxo 10 TEA'!L5:L41))^12-1,"n/d")</f>
        <v>0.587750563180718</v>
      </c>
      <c r="L21" s="7"/>
    </row>
    <row r="22" customFormat="false" ht="15" hidden="false" customHeight="false" outlineLevel="0" collapsed="false">
      <c r="A22" s="13" t="s">
        <v>73</v>
      </c>
      <c r="B22" s="14" t="n">
        <f aca="false">RANK(B19,$B$19:$K$19,0)</f>
        <v>2</v>
      </c>
      <c r="C22" s="14" t="n">
        <f aca="false">RANK(C19,$B$19:$K$19,0)</f>
        <v>5</v>
      </c>
      <c r="D22" s="14" t="n">
        <f aca="false">RANK(D19,$B$19:$K$19,0)</f>
        <v>9</v>
      </c>
      <c r="E22" s="14" t="n">
        <f aca="false">RANK(E19,$B$19:$K$19,0)</f>
        <v>10</v>
      </c>
      <c r="F22" s="14" t="n">
        <f aca="false">RANK(F19,$B$19:$K$19,0)</f>
        <v>7</v>
      </c>
      <c r="G22" s="14" t="n">
        <f aca="false">RANK(G19,$B$19:$K$19,0)</f>
        <v>8</v>
      </c>
      <c r="H22" s="14" t="n">
        <f aca="false">RANK(H19,$B$19:$K$19,0)</f>
        <v>6</v>
      </c>
      <c r="I22" s="14" t="n">
        <f aca="false">RANK(I19,$B$19:$K$19,0)</f>
        <v>4</v>
      </c>
      <c r="J22" s="14" t="n">
        <f aca="false">RANK(J19,$B$19:$K$19,0)</f>
        <v>3</v>
      </c>
      <c r="K22" s="14" t="n">
        <f aca="false">RANK(K19,$B$19:$K$19,0)</f>
        <v>1</v>
      </c>
      <c r="L22" s="7" t="s">
        <v>74</v>
      </c>
    </row>
    <row r="24" customFormat="false" ht="15" hidden="false" customHeight="false" outlineLevel="0" collapsed="false">
      <c r="A24" s="15" t="s">
        <v>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11" min="2" style="0" width="17"/>
    <col collapsed="false" customWidth="true" hidden="false" outlineLevel="0" max="12" min="12" style="0" width="13"/>
    <col collapsed="false" customWidth="true" hidden="false" outlineLevel="0" max="13" min="13" style="0" width="70"/>
  </cols>
  <sheetData>
    <row r="1" customFormat="false" ht="17.35" hidden="false" customHeight="false" outlineLevel="0" collapsed="false">
      <c r="A1" s="1" t="s">
        <v>76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customFormat="false" ht="15" hidden="false" customHeight="false" outlineLevel="0" collapsed="false">
      <c r="A2" s="15" t="s">
        <v>77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</row>
    <row r="3" customFormat="false" ht="15" hidden="false" customHeight="false" outlineLevel="0" collapsed="false">
      <c r="A3" s="16"/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</row>
    <row r="4" customFormat="false" ht="45" hidden="false" customHeight="true" outlineLevel="0" collapsed="false">
      <c r="A4" s="17" t="s">
        <v>78</v>
      </c>
      <c r="B4" s="17" t="s">
        <v>35</v>
      </c>
      <c r="C4" s="17" t="s">
        <v>36</v>
      </c>
      <c r="D4" s="17" t="s">
        <v>37</v>
      </c>
      <c r="E4" s="17" t="s">
        <v>38</v>
      </c>
      <c r="F4" s="17" t="s">
        <v>39</v>
      </c>
      <c r="G4" s="17" t="s">
        <v>40</v>
      </c>
      <c r="H4" s="17" t="s">
        <v>41</v>
      </c>
      <c r="I4" s="17" t="s">
        <v>42</v>
      </c>
      <c r="J4" s="17" t="s">
        <v>43</v>
      </c>
      <c r="K4" s="17" t="s">
        <v>44</v>
      </c>
      <c r="L4" s="17" t="s">
        <v>79</v>
      </c>
      <c r="M4" s="17" t="s">
        <v>80</v>
      </c>
    </row>
    <row r="5" customFormat="false" ht="75" hidden="false" customHeight="true" outlineLevel="0" collapsed="false">
      <c r="A5" s="13" t="s">
        <v>81</v>
      </c>
      <c r="B5" s="18" t="s">
        <v>82</v>
      </c>
      <c r="C5" s="18" t="s">
        <v>83</v>
      </c>
      <c r="D5" s="18" t="s">
        <v>84</v>
      </c>
      <c r="E5" s="18" t="s">
        <v>85</v>
      </c>
      <c r="F5" s="18" t="s">
        <v>86</v>
      </c>
      <c r="G5" s="18" t="s">
        <v>87</v>
      </c>
      <c r="H5" s="18" t="s">
        <v>88</v>
      </c>
      <c r="I5" s="18" t="s">
        <v>89</v>
      </c>
      <c r="J5" s="18" t="s">
        <v>90</v>
      </c>
      <c r="K5" s="18" t="s">
        <v>91</v>
      </c>
      <c r="L5" s="19"/>
      <c r="M5" s="19"/>
    </row>
    <row r="6" customFormat="false" ht="15" hidden="false" customHeight="false" outlineLevel="0" collapsed="false">
      <c r="A6" s="7" t="s">
        <v>46</v>
      </c>
      <c r="B6" s="20" t="n">
        <v>25000</v>
      </c>
      <c r="C6" s="20" t="n">
        <v>40000</v>
      </c>
      <c r="D6" s="20" t="n">
        <v>50000</v>
      </c>
      <c r="E6" s="20" t="n">
        <v>250000</v>
      </c>
      <c r="F6" s="20" t="n">
        <v>80000</v>
      </c>
      <c r="G6" s="20" t="n">
        <v>50000</v>
      </c>
      <c r="H6" s="20" t="n">
        <v>100000</v>
      </c>
      <c r="I6" s="20" t="n">
        <v>70000</v>
      </c>
      <c r="J6" s="20" t="n">
        <v>20000</v>
      </c>
      <c r="K6" s="20" t="n">
        <v>600000</v>
      </c>
      <c r="L6" s="19" t="s">
        <v>92</v>
      </c>
      <c r="M6" s="21" t="s">
        <v>93</v>
      </c>
    </row>
    <row r="7" customFormat="false" ht="26.85" hidden="false" customHeight="false" outlineLevel="0" collapsed="false">
      <c r="A7" s="7" t="s">
        <v>94</v>
      </c>
      <c r="B7" s="20" t="n">
        <v>1500</v>
      </c>
      <c r="C7" s="20" t="n">
        <v>1200</v>
      </c>
      <c r="D7" s="20" t="n">
        <v>5500</v>
      </c>
      <c r="E7" s="20" t="n">
        <v>350</v>
      </c>
      <c r="F7" s="20" t="n">
        <v>600</v>
      </c>
      <c r="G7" s="20" t="n">
        <v>80</v>
      </c>
      <c r="H7" s="20" t="n">
        <v>2500</v>
      </c>
      <c r="I7" s="20" t="n">
        <v>150</v>
      </c>
      <c r="J7" s="20" t="n">
        <v>3500</v>
      </c>
      <c r="K7" s="20" t="n">
        <v>4000</v>
      </c>
      <c r="L7" s="19" t="s">
        <v>95</v>
      </c>
      <c r="M7" s="21" t="s">
        <v>96</v>
      </c>
    </row>
    <row r="8" customFormat="false" ht="26.85" hidden="false" customHeight="false" outlineLevel="0" collapsed="false">
      <c r="A8" s="7" t="s">
        <v>97</v>
      </c>
      <c r="B8" s="20" t="n">
        <v>1000</v>
      </c>
      <c r="C8" s="20" t="n">
        <v>8000</v>
      </c>
      <c r="D8" s="20" t="n">
        <v>0</v>
      </c>
      <c r="E8" s="20" t="n">
        <v>0</v>
      </c>
      <c r="F8" s="20" t="n">
        <v>1500</v>
      </c>
      <c r="G8" s="20" t="n">
        <v>6000</v>
      </c>
      <c r="H8" s="20" t="n">
        <v>0</v>
      </c>
      <c r="I8" s="20" t="n">
        <v>400</v>
      </c>
      <c r="J8" s="20" t="n">
        <v>0</v>
      </c>
      <c r="K8" s="20" t="n">
        <v>1500</v>
      </c>
      <c r="L8" s="19" t="s">
        <v>92</v>
      </c>
      <c r="M8" s="21" t="s">
        <v>98</v>
      </c>
    </row>
    <row r="9" customFormat="false" ht="15" hidden="false" customHeight="false" outlineLevel="0" collapsed="false">
      <c r="A9" s="7" t="s">
        <v>99</v>
      </c>
      <c r="B9" s="22" t="n">
        <v>2</v>
      </c>
      <c r="C9" s="22" t="n">
        <v>1</v>
      </c>
      <c r="D9" s="22" t="n">
        <v>2</v>
      </c>
      <c r="E9" s="22" t="n">
        <v>20</v>
      </c>
      <c r="F9" s="22" t="n">
        <v>3</v>
      </c>
      <c r="G9" s="22" t="n">
        <v>2</v>
      </c>
      <c r="H9" s="22" t="n">
        <v>2</v>
      </c>
      <c r="I9" s="22" t="n">
        <v>10</v>
      </c>
      <c r="J9" s="22" t="n">
        <v>1</v>
      </c>
      <c r="K9" s="22" t="n">
        <v>5</v>
      </c>
      <c r="L9" s="19" t="s">
        <v>100</v>
      </c>
      <c r="M9" s="21" t="s">
        <v>101</v>
      </c>
    </row>
    <row r="10" customFormat="false" ht="15" hidden="false" customHeight="false" outlineLevel="0" collapsed="false">
      <c r="A10" s="7" t="s">
        <v>102</v>
      </c>
      <c r="B10" s="22" t="n">
        <v>2</v>
      </c>
      <c r="C10" s="22" t="n">
        <v>1.5</v>
      </c>
      <c r="D10" s="22" t="n">
        <v>1.5</v>
      </c>
      <c r="E10" s="22" t="n">
        <v>15</v>
      </c>
      <c r="F10" s="22" t="n">
        <v>3</v>
      </c>
      <c r="G10" s="22" t="n">
        <v>4</v>
      </c>
      <c r="H10" s="22" t="n">
        <v>1.5</v>
      </c>
      <c r="I10" s="22" t="n">
        <v>15</v>
      </c>
      <c r="J10" s="22" t="n">
        <v>0.5</v>
      </c>
      <c r="K10" s="22" t="n">
        <v>4</v>
      </c>
      <c r="L10" s="19" t="s">
        <v>103</v>
      </c>
      <c r="M10" s="21" t="s">
        <v>104</v>
      </c>
    </row>
    <row r="11" customFormat="false" ht="26.85" hidden="false" customHeight="false" outlineLevel="0" collapsed="false">
      <c r="A11" s="7" t="s">
        <v>105</v>
      </c>
      <c r="B11" s="22" t="n">
        <v>40</v>
      </c>
      <c r="C11" s="22" t="n">
        <v>30</v>
      </c>
      <c r="D11" s="22" t="n">
        <v>40</v>
      </c>
      <c r="E11" s="22" t="n">
        <v>300</v>
      </c>
      <c r="F11" s="22" t="n">
        <v>80</v>
      </c>
      <c r="G11" s="22" t="n">
        <v>300</v>
      </c>
      <c r="H11" s="22" t="n">
        <v>35</v>
      </c>
      <c r="I11" s="22" t="n">
        <v>400</v>
      </c>
      <c r="J11" s="22" t="n">
        <v>12</v>
      </c>
      <c r="K11" s="22" t="n">
        <v>80</v>
      </c>
      <c r="L11" s="19" t="s">
        <v>100</v>
      </c>
      <c r="M11" s="21" t="s">
        <v>106</v>
      </c>
    </row>
    <row r="12" customFormat="false" ht="15" hidden="false" customHeight="false" outlineLevel="0" collapsed="false">
      <c r="A12" s="7" t="s">
        <v>107</v>
      </c>
      <c r="B12" s="23" t="n">
        <v>0.02</v>
      </c>
      <c r="C12" s="23" t="n">
        <v>0.03</v>
      </c>
      <c r="D12" s="23" t="n">
        <v>0.05</v>
      </c>
      <c r="E12" s="23" t="n">
        <v>0.02</v>
      </c>
      <c r="F12" s="23" t="n">
        <v>0.02</v>
      </c>
      <c r="G12" s="23" t="n">
        <v>0.01</v>
      </c>
      <c r="H12" s="23" t="n">
        <v>0.03</v>
      </c>
      <c r="I12" s="23" t="n">
        <v>0.02</v>
      </c>
      <c r="J12" s="23" t="n">
        <v>0.015</v>
      </c>
      <c r="K12" s="23" t="n">
        <v>0.02</v>
      </c>
      <c r="L12" s="19" t="s">
        <v>108</v>
      </c>
      <c r="M12" s="21" t="s">
        <v>109</v>
      </c>
    </row>
    <row r="13" customFormat="false" ht="26.85" hidden="false" customHeight="false" outlineLevel="0" collapsed="false">
      <c r="A13" s="7" t="s">
        <v>110</v>
      </c>
      <c r="B13" s="23" t="n">
        <v>0.3</v>
      </c>
      <c r="C13" s="23" t="n">
        <v>0.35</v>
      </c>
      <c r="D13" s="23" t="n">
        <v>0.78</v>
      </c>
      <c r="E13" s="23" t="n">
        <v>0.45</v>
      </c>
      <c r="F13" s="23" t="n">
        <v>0.3</v>
      </c>
      <c r="G13" s="23" t="n">
        <v>0.55</v>
      </c>
      <c r="H13" s="23" t="n">
        <v>0.45</v>
      </c>
      <c r="I13" s="23" t="n">
        <v>0.3</v>
      </c>
      <c r="J13" s="23" t="n">
        <v>0.1</v>
      </c>
      <c r="K13" s="23" t="n">
        <v>0.5</v>
      </c>
      <c r="L13" s="19" t="s">
        <v>111</v>
      </c>
      <c r="M13" s="21" t="s">
        <v>112</v>
      </c>
    </row>
    <row r="14" customFormat="false" ht="26.85" hidden="false" customHeight="false" outlineLevel="0" collapsed="false">
      <c r="A14" s="7" t="s">
        <v>113</v>
      </c>
      <c r="B14" s="23" t="n">
        <v>0.06</v>
      </c>
      <c r="C14" s="23" t="n">
        <v>0.06</v>
      </c>
      <c r="D14" s="23" t="n">
        <v>0.11</v>
      </c>
      <c r="E14" s="23" t="n">
        <v>0.08</v>
      </c>
      <c r="F14" s="23" t="n">
        <v>0.06</v>
      </c>
      <c r="G14" s="23" t="n">
        <v>0.06</v>
      </c>
      <c r="H14" s="23" t="n">
        <v>0.06</v>
      </c>
      <c r="I14" s="23" t="n">
        <v>0.06</v>
      </c>
      <c r="J14" s="23" t="n">
        <v>0.06</v>
      </c>
      <c r="K14" s="23" t="n">
        <v>0.11</v>
      </c>
      <c r="L14" s="19" t="s">
        <v>111</v>
      </c>
      <c r="M14" s="21" t="s">
        <v>114</v>
      </c>
    </row>
    <row r="15" customFormat="false" ht="15" hidden="false" customHeight="false" outlineLevel="0" collapsed="false">
      <c r="A15" s="7" t="s">
        <v>115</v>
      </c>
      <c r="B15" s="20" t="n">
        <v>3000</v>
      </c>
      <c r="C15" s="20" t="n">
        <v>4000</v>
      </c>
      <c r="D15" s="20" t="n">
        <v>6000</v>
      </c>
      <c r="E15" s="20" t="n">
        <v>25000</v>
      </c>
      <c r="F15" s="20" t="n">
        <v>8000</v>
      </c>
      <c r="G15" s="20" t="n">
        <v>4000</v>
      </c>
      <c r="H15" s="20" t="n">
        <v>8000</v>
      </c>
      <c r="I15" s="20" t="n">
        <v>5000</v>
      </c>
      <c r="J15" s="20" t="n">
        <v>1500</v>
      </c>
      <c r="K15" s="20" t="n">
        <v>35000</v>
      </c>
      <c r="L15" s="19" t="s">
        <v>95</v>
      </c>
      <c r="M15" s="21" t="s">
        <v>116</v>
      </c>
    </row>
    <row r="16" customFormat="false" ht="15" hidden="false" customHeight="false" outlineLevel="0" collapsed="false">
      <c r="A16" s="7" t="s">
        <v>117</v>
      </c>
      <c r="B16" s="20" t="n">
        <v>5000</v>
      </c>
      <c r="C16" s="20" t="n">
        <v>6000</v>
      </c>
      <c r="D16" s="20" t="n">
        <v>5000</v>
      </c>
      <c r="E16" s="20" t="n">
        <v>6000</v>
      </c>
      <c r="F16" s="20" t="n">
        <v>5000</v>
      </c>
      <c r="G16" s="20" t="n">
        <v>5000</v>
      </c>
      <c r="H16" s="20" t="n">
        <v>5000</v>
      </c>
      <c r="I16" s="20" t="n">
        <v>5000</v>
      </c>
      <c r="J16" s="20" t="n">
        <v>5000</v>
      </c>
      <c r="K16" s="20" t="n">
        <v>8000</v>
      </c>
      <c r="L16" s="19" t="s">
        <v>95</v>
      </c>
      <c r="M16" s="21" t="s">
        <v>118</v>
      </c>
    </row>
    <row r="17" customFormat="false" ht="15" hidden="false" customHeight="false" outlineLevel="0" collapsed="false">
      <c r="A17" s="16"/>
      <c r="B17" s="16"/>
      <c r="C17" s="16"/>
      <c r="D17" s="16"/>
      <c r="E17" s="16"/>
      <c r="F17" s="16"/>
      <c r="G17" s="16"/>
      <c r="H17" s="16"/>
      <c r="I17" s="16"/>
      <c r="J17" s="16"/>
      <c r="K17" s="16"/>
      <c r="L17" s="16"/>
      <c r="M17" s="16"/>
    </row>
    <row r="18" customFormat="false" ht="15" hidden="false" customHeight="false" outlineLevel="0" collapsed="false">
      <c r="A18" s="2" t="s">
        <v>119</v>
      </c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16"/>
    </row>
    <row r="19" customFormat="false" ht="15" hidden="false" customHeight="false" outlineLevel="0" collapsed="false">
      <c r="A19" s="16" t="s">
        <v>120</v>
      </c>
      <c r="B19" s="4" t="s">
        <v>121</v>
      </c>
      <c r="C19" s="16" t="s">
        <v>122</v>
      </c>
      <c r="D19" s="16"/>
      <c r="E19" s="16"/>
      <c r="F19" s="16"/>
      <c r="G19" s="16"/>
      <c r="H19" s="16"/>
      <c r="I19" s="16"/>
      <c r="J19" s="16"/>
      <c r="K19" s="16"/>
      <c r="L19" s="16"/>
      <c r="M19" s="16"/>
    </row>
    <row r="20" customFormat="false" ht="15" hidden="false" customHeight="false" outlineLevel="0" collapsed="false">
      <c r="A20" s="16"/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</row>
    <row r="21" customFormat="false" ht="26.85" hidden="false" customHeight="false" outlineLevel="0" collapsed="false">
      <c r="A21" s="6" t="s">
        <v>119</v>
      </c>
      <c r="B21" s="6" t="s">
        <v>123</v>
      </c>
      <c r="C21" s="6" t="s">
        <v>124</v>
      </c>
      <c r="D21" s="16"/>
      <c r="E21" s="16"/>
      <c r="F21" s="16"/>
      <c r="G21" s="16"/>
      <c r="H21" s="16"/>
      <c r="I21" s="16"/>
      <c r="J21" s="16"/>
      <c r="K21" s="16"/>
      <c r="L21" s="16"/>
      <c r="M21" s="16"/>
    </row>
    <row r="22" customFormat="false" ht="15" hidden="false" customHeight="false" outlineLevel="0" collapsed="false">
      <c r="A22" s="16" t="s">
        <v>125</v>
      </c>
      <c r="B22" s="24" t="n">
        <v>0.7</v>
      </c>
      <c r="C22" s="24" t="n">
        <v>0.9</v>
      </c>
      <c r="D22" s="16" t="s">
        <v>126</v>
      </c>
      <c r="E22" s="16"/>
      <c r="F22" s="16"/>
      <c r="G22" s="16"/>
      <c r="H22" s="16"/>
      <c r="I22" s="16"/>
      <c r="J22" s="16"/>
      <c r="K22" s="16"/>
      <c r="L22" s="16"/>
      <c r="M22" s="16"/>
    </row>
    <row r="23" customFormat="false" ht="15" hidden="false" customHeight="false" outlineLevel="0" collapsed="false">
      <c r="A23" s="16" t="s">
        <v>121</v>
      </c>
      <c r="B23" s="24" t="n">
        <v>1</v>
      </c>
      <c r="C23" s="24" t="n">
        <v>1</v>
      </c>
      <c r="D23" s="16"/>
      <c r="E23" s="16"/>
      <c r="F23" s="16"/>
      <c r="G23" s="16"/>
      <c r="H23" s="16"/>
      <c r="I23" s="16"/>
      <c r="J23" s="16"/>
      <c r="K23" s="16"/>
      <c r="L23" s="16"/>
      <c r="M23" s="16"/>
    </row>
    <row r="24" customFormat="false" ht="15" hidden="false" customHeight="false" outlineLevel="0" collapsed="false">
      <c r="A24" s="16" t="s">
        <v>127</v>
      </c>
      <c r="B24" s="24" t="n">
        <v>1.3</v>
      </c>
      <c r="C24" s="24" t="n">
        <v>1.1</v>
      </c>
      <c r="D24" s="16"/>
      <c r="E24" s="16"/>
      <c r="F24" s="16"/>
      <c r="G24" s="16"/>
      <c r="H24" s="16"/>
      <c r="I24" s="16"/>
      <c r="J24" s="16"/>
      <c r="K24" s="16"/>
      <c r="L24" s="16"/>
      <c r="M24" s="16"/>
    </row>
    <row r="25" customFormat="false" ht="15" hidden="false" customHeight="false" outlineLevel="0" collapsed="false">
      <c r="A25" s="16"/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</row>
    <row r="26" customFormat="false" ht="15" hidden="false" customHeight="false" outlineLevel="0" collapsed="false">
      <c r="A26" s="16" t="s">
        <v>128</v>
      </c>
      <c r="B26" s="25" t="n">
        <f aca="false">INDEX($B$22:$B$24,MATCH($B$19,$A$22:$A$24,0))</f>
        <v>1</v>
      </c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</row>
    <row r="27" customFormat="false" ht="15" hidden="false" customHeight="false" outlineLevel="0" collapsed="false">
      <c r="A27" s="16" t="s">
        <v>129</v>
      </c>
      <c r="B27" s="25" t="n">
        <f aca="false">INDEX($C$22:$C$24,MATCH($B$19,$A$22:$A$24,0))</f>
        <v>1</v>
      </c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</row>
    <row r="28" customFormat="false" ht="15" hidden="false" customHeight="false" outlineLevel="0" collapsed="false">
      <c r="A28" s="16"/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</row>
    <row r="29" customFormat="false" ht="15" hidden="false" customHeight="false" outlineLevel="0" collapsed="false">
      <c r="A29" s="16" t="s">
        <v>130</v>
      </c>
      <c r="B29" s="26" t="n">
        <v>0.012</v>
      </c>
      <c r="C29" s="16" t="s">
        <v>131</v>
      </c>
      <c r="D29" s="16"/>
      <c r="E29" s="16"/>
      <c r="F29" s="16"/>
      <c r="G29" s="16"/>
      <c r="H29" s="16"/>
      <c r="I29" s="16"/>
      <c r="J29" s="16"/>
      <c r="K29" s="16"/>
      <c r="L29" s="16"/>
      <c r="M29" s="16"/>
    </row>
  </sheetData>
  <dataValidations count="1">
    <dataValidation allowBlank="false" errorStyle="stop" operator="between" showDropDown="false" showErrorMessage="false" showInputMessage="false" sqref="B19" type="list">
      <formula1>"Pessimista,Base,Otimista"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6" min="4" style="0" width="16"/>
    <col collapsed="false" customWidth="true" hidden="false" outlineLevel="0" max="7" min="7" style="0" width="14"/>
    <col collapsed="false" customWidth="true" hidden="false" outlineLevel="0" max="13" min="8" style="0" width="16"/>
    <col collapsed="false" customWidth="true" hidden="false" outlineLevel="0" max="14" min="14" style="0" width="12"/>
  </cols>
  <sheetData>
    <row r="1" customFormat="false" ht="17.35" hidden="false" customHeight="false" outlineLevel="0" collapsed="false">
      <c r="A1" s="1" t="s">
        <v>132</v>
      </c>
    </row>
    <row r="2" customFormat="false" ht="15" hidden="false" customHeight="false" outlineLevel="0" collapsed="false">
      <c r="A2" s="0" t="s">
        <v>33</v>
      </c>
      <c r="B2" s="5" t="str">
        <f aca="false">Premissas!$B$19</f>
        <v>Base</v>
      </c>
    </row>
    <row r="4" customFormat="false" ht="45" hidden="false" customHeight="true" outlineLevel="0" collapsed="false">
      <c r="A4" s="6" t="s">
        <v>133</v>
      </c>
      <c r="B4" s="6" t="s">
        <v>134</v>
      </c>
      <c r="C4" s="6" t="s">
        <v>135</v>
      </c>
      <c r="D4" s="6" t="s">
        <v>136</v>
      </c>
      <c r="E4" s="6" t="s">
        <v>137</v>
      </c>
      <c r="F4" s="6" t="s">
        <v>138</v>
      </c>
      <c r="G4" s="6" t="s">
        <v>139</v>
      </c>
      <c r="H4" s="6" t="s">
        <v>140</v>
      </c>
      <c r="I4" s="6" t="s">
        <v>141</v>
      </c>
      <c r="J4" s="6" t="s">
        <v>142</v>
      </c>
      <c r="K4" s="6" t="s">
        <v>143</v>
      </c>
      <c r="L4" s="6" t="s">
        <v>144</v>
      </c>
      <c r="M4" s="6" t="s">
        <v>145</v>
      </c>
      <c r="N4" s="6" t="s">
        <v>146</v>
      </c>
    </row>
    <row r="5" customFormat="false" ht="15" hidden="false" customHeight="false" outlineLevel="0" collapsed="false">
      <c r="A5" s="27" t="n">
        <v>0</v>
      </c>
      <c r="B5" s="28" t="n">
        <v>0</v>
      </c>
      <c r="C5" s="28" t="n">
        <v>0</v>
      </c>
      <c r="D5" s="29" t="n">
        <v>0</v>
      </c>
      <c r="E5" s="29" t="n">
        <v>0</v>
      </c>
      <c r="F5" s="29" t="n">
        <v>0</v>
      </c>
      <c r="G5" s="29" t="n">
        <v>0</v>
      </c>
      <c r="H5" s="29" t="n">
        <v>0</v>
      </c>
      <c r="I5" s="29" t="n">
        <v>0</v>
      </c>
      <c r="J5" s="29" t="n">
        <v>0</v>
      </c>
      <c r="K5" s="29" t="n">
        <v>0</v>
      </c>
      <c r="L5" s="30" t="n">
        <f aca="false">-Premissas!$B$6</f>
        <v>-25000</v>
      </c>
      <c r="M5" s="29" t="n">
        <f aca="false">L5</f>
        <v>-25000</v>
      </c>
      <c r="N5" s="27" t="n">
        <f aca="false">IF(M5&gt;=0,1,0)</f>
        <v>0</v>
      </c>
    </row>
    <row r="6" customFormat="false" ht="15" hidden="false" customHeight="false" outlineLevel="0" collapsed="false">
      <c r="A6" s="27" t="n">
        <f aca="false">A5+1</f>
        <v>1</v>
      </c>
      <c r="B6" s="28" t="n">
        <f aca="false">MIN(Premissas!$B$11,B5*(1-Premissas!$B$12)+IF(A6=1,Premissas!$B$9,Premissas!$B$10*Premissas!$B$26))</f>
        <v>2</v>
      </c>
      <c r="C6" s="28" t="n">
        <f aca="false">MAX(0,B6-B5*(1-Premissas!$B$12))</f>
        <v>2</v>
      </c>
      <c r="D6" s="29" t="n">
        <f aca="false">B6*Premissas!$B$7*Premissas!$B$27</f>
        <v>3000</v>
      </c>
      <c r="E6" s="29" t="n">
        <f aca="false">C6*Premissas!$B$8*Premissas!$B$27</f>
        <v>2000</v>
      </c>
      <c r="F6" s="29" t="n">
        <f aca="false">D6+E6</f>
        <v>5000</v>
      </c>
      <c r="G6" s="29" t="n">
        <f aca="false">F6*Premissas!$B$14</f>
        <v>300</v>
      </c>
      <c r="H6" s="29" t="n">
        <f aca="false">F6*Premissas!$B$13</f>
        <v>1500</v>
      </c>
      <c r="I6" s="29" t="n">
        <f aca="false">F6-G6-H6</f>
        <v>3200</v>
      </c>
      <c r="J6" s="29" t="n">
        <f aca="false">Premissas!$B$15+Premissas!$B$16</f>
        <v>8000</v>
      </c>
      <c r="K6" s="29" t="n">
        <f aca="false">I6-J6</f>
        <v>-4800</v>
      </c>
      <c r="L6" s="29" t="n">
        <f aca="false">K6</f>
        <v>-4800</v>
      </c>
      <c r="M6" s="29" t="n">
        <f aca="false">M5+L6</f>
        <v>-29800</v>
      </c>
      <c r="N6" s="27" t="n">
        <f aca="false">IF(M6&gt;=0,1,0)</f>
        <v>0</v>
      </c>
    </row>
    <row r="7" customFormat="false" ht="15" hidden="false" customHeight="false" outlineLevel="0" collapsed="false">
      <c r="A7" s="27" t="n">
        <f aca="false">A6+1</f>
        <v>2</v>
      </c>
      <c r="B7" s="28" t="n">
        <f aca="false">MIN(Premissas!$B$11,B6*(1-Premissas!$B$12)+IF(A7=1,Premissas!$B$9,Premissas!$B$10*Premissas!$B$26))</f>
        <v>3.96</v>
      </c>
      <c r="C7" s="28" t="n">
        <f aca="false">MAX(0,B7-B6*(1-Premissas!$B$12))</f>
        <v>2</v>
      </c>
      <c r="D7" s="29" t="n">
        <f aca="false">B7*Premissas!$B$7*Premissas!$B$27</f>
        <v>5940</v>
      </c>
      <c r="E7" s="29" t="n">
        <f aca="false">C7*Premissas!$B$8*Premissas!$B$27</f>
        <v>2000</v>
      </c>
      <c r="F7" s="29" t="n">
        <f aca="false">D7+E7</f>
        <v>7940</v>
      </c>
      <c r="G7" s="29" t="n">
        <f aca="false">F7*Premissas!$B$14</f>
        <v>476.4</v>
      </c>
      <c r="H7" s="29" t="n">
        <f aca="false">F7*Premissas!$B$13</f>
        <v>2382</v>
      </c>
      <c r="I7" s="29" t="n">
        <f aca="false">F7-G7-H7</f>
        <v>5081.6</v>
      </c>
      <c r="J7" s="29" t="n">
        <f aca="false">Premissas!$B$15+Premissas!$B$16</f>
        <v>8000</v>
      </c>
      <c r="K7" s="29" t="n">
        <f aca="false">I7-J7</f>
        <v>-2918.4</v>
      </c>
      <c r="L7" s="29" t="n">
        <f aca="false">K7</f>
        <v>-2918.4</v>
      </c>
      <c r="M7" s="29" t="n">
        <f aca="false">M6+L7</f>
        <v>-32718.4</v>
      </c>
      <c r="N7" s="27" t="n">
        <f aca="false">IF(M7&gt;=0,1,0)</f>
        <v>0</v>
      </c>
    </row>
    <row r="8" customFormat="false" ht="15" hidden="false" customHeight="false" outlineLevel="0" collapsed="false">
      <c r="A8" s="27" t="n">
        <f aca="false">A7+1</f>
        <v>3</v>
      </c>
      <c r="B8" s="28" t="n">
        <f aca="false">MIN(Premissas!$B$11,B7*(1-Premissas!$B$12)+IF(A8=1,Premissas!$B$9,Premissas!$B$10*Premissas!$B$26))</f>
        <v>5.8808</v>
      </c>
      <c r="C8" s="28" t="n">
        <f aca="false">MAX(0,B8-B7*(1-Premissas!$B$12))</f>
        <v>2</v>
      </c>
      <c r="D8" s="29" t="n">
        <f aca="false">B8*Premissas!$B$7*Premissas!$B$27</f>
        <v>8821.2</v>
      </c>
      <c r="E8" s="29" t="n">
        <f aca="false">C8*Premissas!$B$8*Premissas!$B$27</f>
        <v>2000</v>
      </c>
      <c r="F8" s="29" t="n">
        <f aca="false">D8+E8</f>
        <v>10821.2</v>
      </c>
      <c r="G8" s="29" t="n">
        <f aca="false">F8*Premissas!$B$14</f>
        <v>649.272</v>
      </c>
      <c r="H8" s="29" t="n">
        <f aca="false">F8*Premissas!$B$13</f>
        <v>3246.36</v>
      </c>
      <c r="I8" s="29" t="n">
        <f aca="false">F8-G8-H8</f>
        <v>6925.568</v>
      </c>
      <c r="J8" s="29" t="n">
        <f aca="false">Premissas!$B$15+Premissas!$B$16</f>
        <v>8000</v>
      </c>
      <c r="K8" s="29" t="n">
        <f aca="false">I8-J8</f>
        <v>-1074.432</v>
      </c>
      <c r="L8" s="29" t="n">
        <f aca="false">K8</f>
        <v>-1074.432</v>
      </c>
      <c r="M8" s="29" t="n">
        <f aca="false">M7+L8</f>
        <v>-33792.832</v>
      </c>
      <c r="N8" s="27" t="n">
        <f aca="false">IF(M8&gt;=0,1,0)</f>
        <v>0</v>
      </c>
    </row>
    <row r="9" customFormat="false" ht="15" hidden="false" customHeight="false" outlineLevel="0" collapsed="false">
      <c r="A9" s="27" t="n">
        <f aca="false">A8+1</f>
        <v>4</v>
      </c>
      <c r="B9" s="28" t="n">
        <f aca="false">MIN(Premissas!$B$11,B8*(1-Premissas!$B$12)+IF(A9=1,Premissas!$B$9,Premissas!$B$10*Premissas!$B$26))</f>
        <v>7.763184</v>
      </c>
      <c r="C9" s="28" t="n">
        <f aca="false">MAX(0,B9-B8*(1-Premissas!$B$12))</f>
        <v>2</v>
      </c>
      <c r="D9" s="29" t="n">
        <f aca="false">B9*Premissas!$B$7*Premissas!$B$27</f>
        <v>11644.776</v>
      </c>
      <c r="E9" s="29" t="n">
        <f aca="false">C9*Premissas!$B$8*Premissas!$B$27</f>
        <v>2000</v>
      </c>
      <c r="F9" s="29" t="n">
        <f aca="false">D9+E9</f>
        <v>13644.776</v>
      </c>
      <c r="G9" s="29" t="n">
        <f aca="false">F9*Premissas!$B$14</f>
        <v>818.68656</v>
      </c>
      <c r="H9" s="29" t="n">
        <f aca="false">F9*Premissas!$B$13</f>
        <v>4093.4328</v>
      </c>
      <c r="I9" s="29" t="n">
        <f aca="false">F9-G9-H9</f>
        <v>8732.65664</v>
      </c>
      <c r="J9" s="29" t="n">
        <f aca="false">Premissas!$B$15+Premissas!$B$16</f>
        <v>8000</v>
      </c>
      <c r="K9" s="29" t="n">
        <f aca="false">I9-J9</f>
        <v>732.656640000001</v>
      </c>
      <c r="L9" s="29" t="n">
        <f aca="false">K9</f>
        <v>732.656640000001</v>
      </c>
      <c r="M9" s="29" t="n">
        <f aca="false">M8+L9</f>
        <v>-33060.17536</v>
      </c>
      <c r="N9" s="27" t="n">
        <f aca="false">IF(M9&gt;=0,1,0)</f>
        <v>0</v>
      </c>
    </row>
    <row r="10" customFormat="false" ht="15" hidden="false" customHeight="false" outlineLevel="0" collapsed="false">
      <c r="A10" s="27" t="n">
        <f aca="false">A9+1</f>
        <v>5</v>
      </c>
      <c r="B10" s="28" t="n">
        <f aca="false">MIN(Premissas!$B$11,B9*(1-Premissas!$B$12)+IF(A10=1,Premissas!$B$9,Premissas!$B$10*Premissas!$B$26))</f>
        <v>9.60792032</v>
      </c>
      <c r="C10" s="28" t="n">
        <f aca="false">MAX(0,B10-B9*(1-Premissas!$B$12))</f>
        <v>2</v>
      </c>
      <c r="D10" s="29" t="n">
        <f aca="false">B10*Premissas!$B$7*Premissas!$B$27</f>
        <v>14411.88048</v>
      </c>
      <c r="E10" s="29" t="n">
        <f aca="false">C10*Premissas!$B$8*Premissas!$B$27</f>
        <v>2000</v>
      </c>
      <c r="F10" s="29" t="n">
        <f aca="false">D10+E10</f>
        <v>16411.88048</v>
      </c>
      <c r="G10" s="29" t="n">
        <f aca="false">F10*Premissas!$B$14</f>
        <v>984.7128288</v>
      </c>
      <c r="H10" s="29" t="n">
        <f aca="false">F10*Premissas!$B$13</f>
        <v>4923.564144</v>
      </c>
      <c r="I10" s="29" t="n">
        <f aca="false">F10-G10-H10</f>
        <v>10503.6035072</v>
      </c>
      <c r="J10" s="29" t="n">
        <f aca="false">Premissas!$B$15+Premissas!$B$16</f>
        <v>8000</v>
      </c>
      <c r="K10" s="29" t="n">
        <f aca="false">I10-J10</f>
        <v>2503.6035072</v>
      </c>
      <c r="L10" s="29" t="n">
        <f aca="false">K10</f>
        <v>2503.6035072</v>
      </c>
      <c r="M10" s="29" t="n">
        <f aca="false">M9+L10</f>
        <v>-30556.5718528</v>
      </c>
      <c r="N10" s="27" t="n">
        <f aca="false">IF(M10&gt;=0,1,0)</f>
        <v>0</v>
      </c>
    </row>
    <row r="11" customFormat="false" ht="15" hidden="false" customHeight="false" outlineLevel="0" collapsed="false">
      <c r="A11" s="27" t="n">
        <f aca="false">A10+1</f>
        <v>6</v>
      </c>
      <c r="B11" s="28" t="n">
        <f aca="false">MIN(Premissas!$B$11,B10*(1-Premissas!$B$12)+IF(A11=1,Premissas!$B$9,Premissas!$B$10*Premissas!$B$26))</f>
        <v>11.4157619136</v>
      </c>
      <c r="C11" s="28" t="n">
        <f aca="false">MAX(0,B11-B10*(1-Premissas!$B$12))</f>
        <v>2</v>
      </c>
      <c r="D11" s="29" t="n">
        <f aca="false">B11*Premissas!$B$7*Premissas!$B$27</f>
        <v>17123.6428704</v>
      </c>
      <c r="E11" s="29" t="n">
        <f aca="false">C11*Premissas!$B$8*Premissas!$B$27</f>
        <v>2000</v>
      </c>
      <c r="F11" s="29" t="n">
        <f aca="false">D11+E11</f>
        <v>19123.6428704</v>
      </c>
      <c r="G11" s="29" t="n">
        <f aca="false">F11*Premissas!$B$14</f>
        <v>1147.418572224</v>
      </c>
      <c r="H11" s="29" t="n">
        <f aca="false">F11*Premissas!$B$13</f>
        <v>5737.09286112</v>
      </c>
      <c r="I11" s="29" t="n">
        <f aca="false">F11-G11-H11</f>
        <v>12239.131437056</v>
      </c>
      <c r="J11" s="29" t="n">
        <f aca="false">Premissas!$B$15+Premissas!$B$16</f>
        <v>8000</v>
      </c>
      <c r="K11" s="29" t="n">
        <f aca="false">I11-J11</f>
        <v>4239.131437056</v>
      </c>
      <c r="L11" s="29" t="n">
        <f aca="false">K11</f>
        <v>4239.131437056</v>
      </c>
      <c r="M11" s="29" t="n">
        <f aca="false">M10+L11</f>
        <v>-26317.440415744</v>
      </c>
      <c r="N11" s="27" t="n">
        <f aca="false">IF(M11&gt;=0,1,0)</f>
        <v>0</v>
      </c>
    </row>
    <row r="12" customFormat="false" ht="15" hidden="false" customHeight="false" outlineLevel="0" collapsed="false">
      <c r="A12" s="27" t="n">
        <f aca="false">A11+1</f>
        <v>7</v>
      </c>
      <c r="B12" s="28" t="n">
        <f aca="false">MIN(Premissas!$B$11,B11*(1-Premissas!$B$12)+IF(A12=1,Premissas!$B$9,Premissas!$B$10*Premissas!$B$26))</f>
        <v>13.187446675328</v>
      </c>
      <c r="C12" s="28" t="n">
        <f aca="false">MAX(0,B12-B11*(1-Premissas!$B$12))</f>
        <v>2</v>
      </c>
      <c r="D12" s="29" t="n">
        <f aca="false">B12*Premissas!$B$7*Premissas!$B$27</f>
        <v>19781.170012992</v>
      </c>
      <c r="E12" s="29" t="n">
        <f aca="false">C12*Premissas!$B$8*Premissas!$B$27</f>
        <v>2000</v>
      </c>
      <c r="F12" s="29" t="n">
        <f aca="false">D12+E12</f>
        <v>21781.170012992</v>
      </c>
      <c r="G12" s="29" t="n">
        <f aca="false">F12*Premissas!$B$14</f>
        <v>1306.87020077952</v>
      </c>
      <c r="H12" s="29" t="n">
        <f aca="false">F12*Premissas!$B$13</f>
        <v>6534.3510038976</v>
      </c>
      <c r="I12" s="29" t="n">
        <f aca="false">F12-G12-H12</f>
        <v>13939.9488083149</v>
      </c>
      <c r="J12" s="29" t="n">
        <f aca="false">Premissas!$B$15+Premissas!$B$16</f>
        <v>8000</v>
      </c>
      <c r="K12" s="29" t="n">
        <f aca="false">I12-J12</f>
        <v>5939.94880831488</v>
      </c>
      <c r="L12" s="29" t="n">
        <f aca="false">K12</f>
        <v>5939.94880831488</v>
      </c>
      <c r="M12" s="29" t="n">
        <f aca="false">M11+L12</f>
        <v>-20377.4916074291</v>
      </c>
      <c r="N12" s="27" t="n">
        <f aca="false">IF(M12&gt;=0,1,0)</f>
        <v>0</v>
      </c>
    </row>
    <row r="13" customFormat="false" ht="15" hidden="false" customHeight="false" outlineLevel="0" collapsed="false">
      <c r="A13" s="27" t="n">
        <f aca="false">A12+1</f>
        <v>8</v>
      </c>
      <c r="B13" s="28" t="n">
        <f aca="false">MIN(Premissas!$B$11,B12*(1-Premissas!$B$12)+IF(A13=1,Premissas!$B$9,Premissas!$B$10*Premissas!$B$26))</f>
        <v>14.9236977418214</v>
      </c>
      <c r="C13" s="28" t="n">
        <f aca="false">MAX(0,B13-B12*(1-Premissas!$B$12))</f>
        <v>2</v>
      </c>
      <c r="D13" s="29" t="n">
        <f aca="false">B13*Premissas!$B$7*Premissas!$B$27</f>
        <v>22385.5466127322</v>
      </c>
      <c r="E13" s="29" t="n">
        <f aca="false">C13*Premissas!$B$8*Premissas!$B$27</f>
        <v>2000</v>
      </c>
      <c r="F13" s="29" t="n">
        <f aca="false">D13+E13</f>
        <v>24385.5466127322</v>
      </c>
      <c r="G13" s="29" t="n">
        <f aca="false">F13*Premissas!$B$14</f>
        <v>1463.13279676393</v>
      </c>
      <c r="H13" s="29" t="n">
        <f aca="false">F13*Premissas!$B$13</f>
        <v>7315.66398381965</v>
      </c>
      <c r="I13" s="29" t="n">
        <f aca="false">F13-G13-H13</f>
        <v>15606.7498321486</v>
      </c>
      <c r="J13" s="29" t="n">
        <f aca="false">Premissas!$B$15+Premissas!$B$16</f>
        <v>8000</v>
      </c>
      <c r="K13" s="29" t="n">
        <f aca="false">I13-J13</f>
        <v>7606.74983214858</v>
      </c>
      <c r="L13" s="29" t="n">
        <f aca="false">K13</f>
        <v>7606.74983214858</v>
      </c>
      <c r="M13" s="29" t="n">
        <f aca="false">M12+L13</f>
        <v>-12770.7417752805</v>
      </c>
      <c r="N13" s="27" t="n">
        <f aca="false">IF(M13&gt;=0,1,0)</f>
        <v>0</v>
      </c>
    </row>
    <row r="14" customFormat="false" ht="15" hidden="false" customHeight="false" outlineLevel="0" collapsed="false">
      <c r="A14" s="27" t="n">
        <f aca="false">A13+1</f>
        <v>9</v>
      </c>
      <c r="B14" s="28" t="n">
        <f aca="false">MIN(Premissas!$B$11,B13*(1-Premissas!$B$12)+IF(A14=1,Premissas!$B$9,Premissas!$B$10*Premissas!$B$26))</f>
        <v>16.625223786985</v>
      </c>
      <c r="C14" s="28" t="n">
        <f aca="false">MAX(0,B14-B13*(1-Premissas!$B$12))</f>
        <v>2</v>
      </c>
      <c r="D14" s="29" t="n">
        <f aca="false">B14*Premissas!$B$7*Premissas!$B$27</f>
        <v>24937.8356804775</v>
      </c>
      <c r="E14" s="29" t="n">
        <f aca="false">C14*Premissas!$B$8*Premissas!$B$27</f>
        <v>2000</v>
      </c>
      <c r="F14" s="29" t="n">
        <f aca="false">D14+E14</f>
        <v>26937.8356804775</v>
      </c>
      <c r="G14" s="29" t="n">
        <f aca="false">F14*Premissas!$B$14</f>
        <v>1616.27014082865</v>
      </c>
      <c r="H14" s="29" t="n">
        <f aca="false">F14*Premissas!$B$13</f>
        <v>8081.35070414326</v>
      </c>
      <c r="I14" s="29" t="n">
        <f aca="false">F14-G14-H14</f>
        <v>17240.2148355056</v>
      </c>
      <c r="J14" s="29" t="n">
        <f aca="false">Premissas!$B$15+Premissas!$B$16</f>
        <v>8000</v>
      </c>
      <c r="K14" s="29" t="n">
        <f aca="false">I14-J14</f>
        <v>9240.21483550561</v>
      </c>
      <c r="L14" s="29" t="n">
        <f aca="false">K14</f>
        <v>9240.21483550561</v>
      </c>
      <c r="M14" s="29" t="n">
        <f aca="false">M13+L14</f>
        <v>-3530.52693977492</v>
      </c>
      <c r="N14" s="27" t="n">
        <f aca="false">IF(M14&gt;=0,1,0)</f>
        <v>0</v>
      </c>
    </row>
    <row r="15" customFormat="false" ht="15" hidden="false" customHeight="false" outlineLevel="0" collapsed="false">
      <c r="A15" s="27" t="n">
        <f aca="false">A14+1</f>
        <v>10</v>
      </c>
      <c r="B15" s="28" t="n">
        <f aca="false">MIN(Premissas!$B$11,B14*(1-Premissas!$B$12)+IF(A15=1,Premissas!$B$9,Premissas!$B$10*Premissas!$B$26))</f>
        <v>18.2927193112453</v>
      </c>
      <c r="C15" s="28" t="n">
        <f aca="false">MAX(0,B15-B14*(1-Premissas!$B$12))</f>
        <v>2</v>
      </c>
      <c r="D15" s="29" t="n">
        <f aca="false">B15*Premissas!$B$7*Premissas!$B$27</f>
        <v>27439.078966868</v>
      </c>
      <c r="E15" s="29" t="n">
        <f aca="false">C15*Premissas!$B$8*Premissas!$B$27</f>
        <v>2000</v>
      </c>
      <c r="F15" s="29" t="n">
        <f aca="false">D15+E15</f>
        <v>29439.078966868</v>
      </c>
      <c r="G15" s="29" t="n">
        <f aca="false">F15*Premissas!$B$14</f>
        <v>1766.34473801208</v>
      </c>
      <c r="H15" s="29" t="n">
        <f aca="false">F15*Premissas!$B$13</f>
        <v>8831.72369006039</v>
      </c>
      <c r="I15" s="29" t="n">
        <f aca="false">F15-G15-H15</f>
        <v>18841.0105387955</v>
      </c>
      <c r="J15" s="29" t="n">
        <f aca="false">Premissas!$B$15+Premissas!$B$16</f>
        <v>8000</v>
      </c>
      <c r="K15" s="29" t="n">
        <f aca="false">I15-J15</f>
        <v>10841.0105387955</v>
      </c>
      <c r="L15" s="29" t="n">
        <f aca="false">K15</f>
        <v>10841.0105387955</v>
      </c>
      <c r="M15" s="29" t="n">
        <f aca="false">M14+L15</f>
        <v>7310.48359902057</v>
      </c>
      <c r="N15" s="27" t="n">
        <f aca="false">IF(M15&gt;=0,1,0)</f>
        <v>1</v>
      </c>
    </row>
    <row r="16" customFormat="false" ht="15" hidden="false" customHeight="false" outlineLevel="0" collapsed="false">
      <c r="A16" s="27" t="n">
        <f aca="false">A15+1</f>
        <v>11</v>
      </c>
      <c r="B16" s="28" t="n">
        <f aca="false">MIN(Premissas!$B$11,B15*(1-Premissas!$B$12)+IF(A16=1,Premissas!$B$9,Premissas!$B$10*Premissas!$B$26))</f>
        <v>19.9268649250204</v>
      </c>
      <c r="C16" s="28" t="n">
        <f aca="false">MAX(0,B16-B15*(1-Premissas!$B$12))</f>
        <v>2</v>
      </c>
      <c r="D16" s="29" t="n">
        <f aca="false">B16*Premissas!$B$7*Premissas!$B$27</f>
        <v>29890.2973875306</v>
      </c>
      <c r="E16" s="29" t="n">
        <f aca="false">C16*Premissas!$B$8*Premissas!$B$27</f>
        <v>2000</v>
      </c>
      <c r="F16" s="29" t="n">
        <f aca="false">D16+E16</f>
        <v>31890.2973875306</v>
      </c>
      <c r="G16" s="29" t="n">
        <f aca="false">F16*Premissas!$B$14</f>
        <v>1913.41784325184</v>
      </c>
      <c r="H16" s="29" t="n">
        <f aca="false">F16*Premissas!$B$13</f>
        <v>9567.08921625918</v>
      </c>
      <c r="I16" s="29" t="n">
        <f aca="false">F16-G16-H16</f>
        <v>20409.7903280196</v>
      </c>
      <c r="J16" s="29" t="n">
        <f aca="false">Premissas!$B$15+Premissas!$B$16</f>
        <v>8000</v>
      </c>
      <c r="K16" s="29" t="n">
        <f aca="false">I16-J16</f>
        <v>12409.7903280196</v>
      </c>
      <c r="L16" s="29" t="n">
        <f aca="false">K16</f>
        <v>12409.7903280196</v>
      </c>
      <c r="M16" s="29" t="n">
        <f aca="false">M15+L16</f>
        <v>19720.2739270402</v>
      </c>
      <c r="N16" s="27" t="n">
        <f aca="false">IF(M16&gt;=0,1,0)</f>
        <v>1</v>
      </c>
    </row>
    <row r="17" customFormat="false" ht="15" hidden="false" customHeight="false" outlineLevel="0" collapsed="false">
      <c r="A17" s="31" t="n">
        <f aca="false">A16+1</f>
        <v>12</v>
      </c>
      <c r="B17" s="32" t="n">
        <f aca="false">MIN(Premissas!$B$11,B16*(1-Premissas!$B$12)+IF(A17=1,Premissas!$B$9,Premissas!$B$10*Premissas!$B$26))</f>
        <v>21.52832762652</v>
      </c>
      <c r="C17" s="32" t="n">
        <f aca="false">MAX(0,B17-B16*(1-Premissas!$B$12))</f>
        <v>2</v>
      </c>
      <c r="D17" s="33" t="n">
        <f aca="false">B17*Premissas!$B$7*Premissas!$B$27</f>
        <v>32292.49143978</v>
      </c>
      <c r="E17" s="33" t="n">
        <f aca="false">C17*Premissas!$B$8*Premissas!$B$27</f>
        <v>2000</v>
      </c>
      <c r="F17" s="33" t="n">
        <f aca="false">D17+E17</f>
        <v>34292.49143978</v>
      </c>
      <c r="G17" s="33" t="n">
        <f aca="false">F17*Premissas!$B$14</f>
        <v>2057.5494863868</v>
      </c>
      <c r="H17" s="33" t="n">
        <f aca="false">F17*Premissas!$B$13</f>
        <v>10287.747431934</v>
      </c>
      <c r="I17" s="33" t="n">
        <f aca="false">F17-G17-H17</f>
        <v>21947.1945214592</v>
      </c>
      <c r="J17" s="33" t="n">
        <f aca="false">Premissas!$B$15+Premissas!$B$16</f>
        <v>8000</v>
      </c>
      <c r="K17" s="33" t="n">
        <f aca="false">I17-J17</f>
        <v>13947.1945214592</v>
      </c>
      <c r="L17" s="33" t="n">
        <f aca="false">K17</f>
        <v>13947.1945214592</v>
      </c>
      <c r="M17" s="33" t="n">
        <f aca="false">M16+L17</f>
        <v>33667.4684484994</v>
      </c>
      <c r="N17" s="31" t="n">
        <f aca="false">IF(M17&gt;=0,1,0)</f>
        <v>1</v>
      </c>
    </row>
    <row r="18" customFormat="false" ht="15" hidden="false" customHeight="false" outlineLevel="0" collapsed="false">
      <c r="A18" s="27" t="n">
        <f aca="false">A17+1</f>
        <v>13</v>
      </c>
      <c r="B18" s="28" t="n">
        <f aca="false">MIN(Premissas!$B$11,B17*(1-Premissas!$B$12)+IF(A18=1,Premissas!$B$9,Premissas!$B$10*Premissas!$B$26))</f>
        <v>23.0977610739896</v>
      </c>
      <c r="C18" s="28" t="n">
        <f aca="false">MAX(0,B18-B17*(1-Premissas!$B$12))</f>
        <v>2</v>
      </c>
      <c r="D18" s="29" t="n">
        <f aca="false">B18*Premissas!$B$7*Premissas!$B$27</f>
        <v>34646.6416109844</v>
      </c>
      <c r="E18" s="29" t="n">
        <f aca="false">C18*Premissas!$B$8*Premissas!$B$27</f>
        <v>2000</v>
      </c>
      <c r="F18" s="29" t="n">
        <f aca="false">D18+E18</f>
        <v>36646.6416109844</v>
      </c>
      <c r="G18" s="29" t="n">
        <f aca="false">F18*Premissas!$B$14</f>
        <v>2198.79849665906</v>
      </c>
      <c r="H18" s="29" t="n">
        <f aca="false">F18*Premissas!$B$13</f>
        <v>10993.9924832953</v>
      </c>
      <c r="I18" s="29" t="n">
        <f aca="false">F18-G18-H18</f>
        <v>23453.85063103</v>
      </c>
      <c r="J18" s="29" t="n">
        <f aca="false">Premissas!$B$15+Premissas!$B$16</f>
        <v>8000</v>
      </c>
      <c r="K18" s="29" t="n">
        <f aca="false">I18-J18</f>
        <v>15453.85063103</v>
      </c>
      <c r="L18" s="29" t="n">
        <f aca="false">K18</f>
        <v>15453.85063103</v>
      </c>
      <c r="M18" s="29" t="n">
        <f aca="false">M17+L18</f>
        <v>49121.3190795294</v>
      </c>
      <c r="N18" s="27" t="n">
        <f aca="false">IF(M18&gt;=0,1,0)</f>
        <v>1</v>
      </c>
    </row>
    <row r="19" customFormat="false" ht="15" hidden="false" customHeight="false" outlineLevel="0" collapsed="false">
      <c r="A19" s="27" t="n">
        <f aca="false">A18+1</f>
        <v>14</v>
      </c>
      <c r="B19" s="28" t="n">
        <f aca="false">MIN(Premissas!$B$11,B18*(1-Premissas!$B$12)+IF(A19=1,Premissas!$B$9,Premissas!$B$10*Premissas!$B$26))</f>
        <v>24.6358058525098</v>
      </c>
      <c r="C19" s="28" t="n">
        <f aca="false">MAX(0,B19-B18*(1-Premissas!$B$12))</f>
        <v>2</v>
      </c>
      <c r="D19" s="29" t="n">
        <f aca="false">B19*Premissas!$B$7*Premissas!$B$27</f>
        <v>36953.7087787647</v>
      </c>
      <c r="E19" s="29" t="n">
        <f aca="false">C19*Premissas!$B$8*Premissas!$B$27</f>
        <v>2000</v>
      </c>
      <c r="F19" s="29" t="n">
        <f aca="false">D19+E19</f>
        <v>38953.7087787647</v>
      </c>
      <c r="G19" s="29" t="n">
        <f aca="false">F19*Premissas!$B$14</f>
        <v>2337.22252672588</v>
      </c>
      <c r="H19" s="29" t="n">
        <f aca="false">F19*Premissas!$B$13</f>
        <v>11686.1126336294</v>
      </c>
      <c r="I19" s="29" t="n">
        <f aca="false">F19-G19-H19</f>
        <v>24930.3736184094</v>
      </c>
      <c r="J19" s="29" t="n">
        <f aca="false">Premissas!$B$15+Premissas!$B$16</f>
        <v>8000</v>
      </c>
      <c r="K19" s="29" t="n">
        <f aca="false">I19-J19</f>
        <v>16930.3736184094</v>
      </c>
      <c r="L19" s="29" t="n">
        <f aca="false">K19</f>
        <v>16930.3736184094</v>
      </c>
      <c r="M19" s="29" t="n">
        <f aca="false">M18+L19</f>
        <v>66051.6926979388</v>
      </c>
      <c r="N19" s="27" t="n">
        <f aca="false">IF(M19&gt;=0,1,0)</f>
        <v>1</v>
      </c>
    </row>
    <row r="20" customFormat="false" ht="15" hidden="false" customHeight="false" outlineLevel="0" collapsed="false">
      <c r="A20" s="27" t="n">
        <f aca="false">A19+1</f>
        <v>15</v>
      </c>
      <c r="B20" s="28" t="n">
        <f aca="false">MIN(Premissas!$B$11,B19*(1-Premissas!$B$12)+IF(A20=1,Premissas!$B$9,Premissas!$B$10*Premissas!$B$26))</f>
        <v>26.1430897354596</v>
      </c>
      <c r="C20" s="28" t="n">
        <f aca="false">MAX(0,B20-B19*(1-Premissas!$B$12))</f>
        <v>2</v>
      </c>
      <c r="D20" s="29" t="n">
        <f aca="false">B20*Premissas!$B$7*Premissas!$B$27</f>
        <v>39214.6346031894</v>
      </c>
      <c r="E20" s="29" t="n">
        <f aca="false">C20*Premissas!$B$8*Premissas!$B$27</f>
        <v>2000</v>
      </c>
      <c r="F20" s="29" t="n">
        <f aca="false">D20+E20</f>
        <v>41214.6346031894</v>
      </c>
      <c r="G20" s="29" t="n">
        <f aca="false">F20*Premissas!$B$14</f>
        <v>2472.87807619137</v>
      </c>
      <c r="H20" s="29" t="n">
        <f aca="false">F20*Premissas!$B$13</f>
        <v>12364.3903809568</v>
      </c>
      <c r="I20" s="29" t="n">
        <f aca="false">F20-G20-H20</f>
        <v>26377.3661460412</v>
      </c>
      <c r="J20" s="29" t="n">
        <f aca="false">Premissas!$B$15+Premissas!$B$16</f>
        <v>8000</v>
      </c>
      <c r="K20" s="29" t="n">
        <f aca="false">I20-J20</f>
        <v>18377.3661460412</v>
      </c>
      <c r="L20" s="29" t="n">
        <f aca="false">K20</f>
        <v>18377.3661460412</v>
      </c>
      <c r="M20" s="29" t="n">
        <f aca="false">M19+L20</f>
        <v>84429.05884398</v>
      </c>
      <c r="N20" s="27" t="n">
        <f aca="false">IF(M20&gt;=0,1,0)</f>
        <v>1</v>
      </c>
    </row>
    <row r="21" customFormat="false" ht="15" hidden="false" customHeight="false" outlineLevel="0" collapsed="false">
      <c r="A21" s="27" t="n">
        <f aca="false">A20+1</f>
        <v>16</v>
      </c>
      <c r="B21" s="28" t="n">
        <f aca="false">MIN(Premissas!$B$11,B20*(1-Premissas!$B$12)+IF(A21=1,Premissas!$B$9,Premissas!$B$10*Premissas!$B$26))</f>
        <v>27.6202279407504</v>
      </c>
      <c r="C21" s="28" t="n">
        <f aca="false">MAX(0,B21-B20*(1-Premissas!$B$12))</f>
        <v>2</v>
      </c>
      <c r="D21" s="29" t="n">
        <f aca="false">B21*Premissas!$B$7*Premissas!$B$27</f>
        <v>41430.3419111256</v>
      </c>
      <c r="E21" s="29" t="n">
        <f aca="false">C21*Premissas!$B$8*Premissas!$B$27</f>
        <v>2000</v>
      </c>
      <c r="F21" s="29" t="n">
        <f aca="false">D21+E21</f>
        <v>43430.3419111256</v>
      </c>
      <c r="G21" s="29" t="n">
        <f aca="false">F21*Premissas!$B$14</f>
        <v>2605.82051466754</v>
      </c>
      <c r="H21" s="29" t="n">
        <f aca="false">F21*Premissas!$B$13</f>
        <v>13029.1025733377</v>
      </c>
      <c r="I21" s="29" t="n">
        <f aca="false">F21-G21-H21</f>
        <v>27795.4188231204</v>
      </c>
      <c r="J21" s="29" t="n">
        <f aca="false">Premissas!$B$15+Premissas!$B$16</f>
        <v>8000</v>
      </c>
      <c r="K21" s="29" t="n">
        <f aca="false">I21-J21</f>
        <v>19795.4188231204</v>
      </c>
      <c r="L21" s="29" t="n">
        <f aca="false">K21</f>
        <v>19795.4188231204</v>
      </c>
      <c r="M21" s="29" t="n">
        <f aca="false">M20+L21</f>
        <v>104224.4776671</v>
      </c>
      <c r="N21" s="27" t="n">
        <f aca="false">IF(M21&gt;=0,1,0)</f>
        <v>1</v>
      </c>
    </row>
    <row r="22" customFormat="false" ht="15" hidden="false" customHeight="false" outlineLevel="0" collapsed="false">
      <c r="A22" s="27" t="n">
        <f aca="false">A21+1</f>
        <v>17</v>
      </c>
      <c r="B22" s="28" t="n">
        <f aca="false">MIN(Premissas!$B$11,B21*(1-Premissas!$B$12)+IF(A22=1,Premissas!$B$9,Premissas!$B$10*Premissas!$B$26))</f>
        <v>29.0678233819354</v>
      </c>
      <c r="C22" s="28" t="n">
        <f aca="false">MAX(0,B22-B21*(1-Premissas!$B$12))</f>
        <v>2</v>
      </c>
      <c r="D22" s="29" t="n">
        <f aca="false">B22*Premissas!$B$7*Premissas!$B$27</f>
        <v>43601.7350729031</v>
      </c>
      <c r="E22" s="29" t="n">
        <f aca="false">C22*Premissas!$B$8*Premissas!$B$27</f>
        <v>2000</v>
      </c>
      <c r="F22" s="29" t="n">
        <f aca="false">D22+E22</f>
        <v>45601.7350729031</v>
      </c>
      <c r="G22" s="29" t="n">
        <f aca="false">F22*Premissas!$B$14</f>
        <v>2736.10410437419</v>
      </c>
      <c r="H22" s="29" t="n">
        <f aca="false">F22*Premissas!$B$13</f>
        <v>13680.5205218709</v>
      </c>
      <c r="I22" s="29" t="n">
        <f aca="false">F22-G22-H22</f>
        <v>29185.110446658</v>
      </c>
      <c r="J22" s="29" t="n">
        <f aca="false">Premissas!$B$15+Premissas!$B$16</f>
        <v>8000</v>
      </c>
      <c r="K22" s="29" t="n">
        <f aca="false">I22-J22</f>
        <v>21185.110446658</v>
      </c>
      <c r="L22" s="29" t="n">
        <f aca="false">K22</f>
        <v>21185.110446658</v>
      </c>
      <c r="M22" s="29" t="n">
        <f aca="false">M21+L22</f>
        <v>125409.588113758</v>
      </c>
      <c r="N22" s="27" t="n">
        <f aca="false">IF(M22&gt;=0,1,0)</f>
        <v>1</v>
      </c>
    </row>
    <row r="23" customFormat="false" ht="15" hidden="false" customHeight="false" outlineLevel="0" collapsed="false">
      <c r="A23" s="27" t="n">
        <f aca="false">A22+1</f>
        <v>18</v>
      </c>
      <c r="B23" s="28" t="n">
        <f aca="false">MIN(Premissas!$B$11,B22*(1-Premissas!$B$12)+IF(A23=1,Premissas!$B$9,Premissas!$B$10*Premissas!$B$26))</f>
        <v>30.4864669142967</v>
      </c>
      <c r="C23" s="28" t="n">
        <f aca="false">MAX(0,B23-B22*(1-Premissas!$B$12))</f>
        <v>2</v>
      </c>
      <c r="D23" s="29" t="n">
        <f aca="false">B23*Premissas!$B$7*Premissas!$B$27</f>
        <v>45729.700371445</v>
      </c>
      <c r="E23" s="29" t="n">
        <f aca="false">C23*Premissas!$B$8*Premissas!$B$27</f>
        <v>2000</v>
      </c>
      <c r="F23" s="29" t="n">
        <f aca="false">D23+E23</f>
        <v>47729.700371445</v>
      </c>
      <c r="G23" s="29" t="n">
        <f aca="false">F23*Premissas!$B$14</f>
        <v>2863.7820222867</v>
      </c>
      <c r="H23" s="29" t="n">
        <f aca="false">F23*Premissas!$B$13</f>
        <v>14318.9101114335</v>
      </c>
      <c r="I23" s="29" t="n">
        <f aca="false">F23-G23-H23</f>
        <v>30547.0082377248</v>
      </c>
      <c r="J23" s="29" t="n">
        <f aca="false">Premissas!$B$15+Premissas!$B$16</f>
        <v>8000</v>
      </c>
      <c r="K23" s="29" t="n">
        <f aca="false">I23-J23</f>
        <v>22547.0082377248</v>
      </c>
      <c r="L23" s="29" t="n">
        <f aca="false">K23</f>
        <v>22547.0082377248</v>
      </c>
      <c r="M23" s="29" t="n">
        <f aca="false">M22+L23</f>
        <v>147956.596351483</v>
      </c>
      <c r="N23" s="27" t="n">
        <f aca="false">IF(M23&gt;=0,1,0)</f>
        <v>1</v>
      </c>
    </row>
    <row r="24" customFormat="false" ht="15" hidden="false" customHeight="false" outlineLevel="0" collapsed="false">
      <c r="A24" s="27" t="n">
        <f aca="false">A23+1</f>
        <v>19</v>
      </c>
      <c r="B24" s="28" t="n">
        <f aca="false">MIN(Premissas!$B$11,B23*(1-Premissas!$B$12)+IF(A24=1,Premissas!$B$9,Premissas!$B$10*Premissas!$B$26))</f>
        <v>31.8767375760108</v>
      </c>
      <c r="C24" s="28" t="n">
        <f aca="false">MAX(0,B24-B23*(1-Premissas!$B$12))</f>
        <v>2</v>
      </c>
      <c r="D24" s="29" t="n">
        <f aca="false">B24*Premissas!$B$7*Premissas!$B$27</f>
        <v>47815.1063640161</v>
      </c>
      <c r="E24" s="29" t="n">
        <f aca="false">C24*Premissas!$B$8*Premissas!$B$27</f>
        <v>2000</v>
      </c>
      <c r="F24" s="29" t="n">
        <f aca="false">D24+E24</f>
        <v>49815.1063640161</v>
      </c>
      <c r="G24" s="29" t="n">
        <f aca="false">F24*Premissas!$B$14</f>
        <v>2988.90638184097</v>
      </c>
      <c r="H24" s="29" t="n">
        <f aca="false">F24*Premissas!$B$13</f>
        <v>14944.5319092048</v>
      </c>
      <c r="I24" s="29" t="n">
        <f aca="false">F24-G24-H24</f>
        <v>31881.6680729703</v>
      </c>
      <c r="J24" s="29" t="n">
        <f aca="false">Premissas!$B$15+Premissas!$B$16</f>
        <v>8000</v>
      </c>
      <c r="K24" s="29" t="n">
        <f aca="false">I24-J24</f>
        <v>23881.6680729703</v>
      </c>
      <c r="L24" s="29" t="n">
        <f aca="false">K24</f>
        <v>23881.6680729703</v>
      </c>
      <c r="M24" s="29" t="n">
        <f aca="false">M23+L24</f>
        <v>171838.264424454</v>
      </c>
      <c r="N24" s="27" t="n">
        <f aca="false">IF(M24&gt;=0,1,0)</f>
        <v>1</v>
      </c>
    </row>
    <row r="25" customFormat="false" ht="15" hidden="false" customHeight="false" outlineLevel="0" collapsed="false">
      <c r="A25" s="27" t="n">
        <f aca="false">A24+1</f>
        <v>20</v>
      </c>
      <c r="B25" s="28" t="n">
        <f aca="false">MIN(Premissas!$B$11,B24*(1-Premissas!$B$12)+IF(A25=1,Premissas!$B$9,Premissas!$B$10*Premissas!$B$26))</f>
        <v>33.2392028244906</v>
      </c>
      <c r="C25" s="28" t="n">
        <f aca="false">MAX(0,B25-B24*(1-Premissas!$B$12))</f>
        <v>2</v>
      </c>
      <c r="D25" s="29" t="n">
        <f aca="false">B25*Premissas!$B$7*Premissas!$B$27</f>
        <v>49858.8042367358</v>
      </c>
      <c r="E25" s="29" t="n">
        <f aca="false">C25*Premissas!$B$8*Premissas!$B$27</f>
        <v>2000</v>
      </c>
      <c r="F25" s="29" t="n">
        <f aca="false">D25+E25</f>
        <v>51858.8042367358</v>
      </c>
      <c r="G25" s="29" t="n">
        <f aca="false">F25*Premissas!$B$14</f>
        <v>3111.52825420415</v>
      </c>
      <c r="H25" s="29" t="n">
        <f aca="false">F25*Premissas!$B$13</f>
        <v>15557.6412710207</v>
      </c>
      <c r="I25" s="29" t="n">
        <f aca="false">F25-G25-H25</f>
        <v>33189.6347115109</v>
      </c>
      <c r="J25" s="29" t="n">
        <f aca="false">Premissas!$B$15+Premissas!$B$16</f>
        <v>8000</v>
      </c>
      <c r="K25" s="29" t="n">
        <f aca="false">I25-J25</f>
        <v>25189.6347115109</v>
      </c>
      <c r="L25" s="29" t="n">
        <f aca="false">K25</f>
        <v>25189.6347115109</v>
      </c>
      <c r="M25" s="29" t="n">
        <f aca="false">M24+L25</f>
        <v>197027.899135964</v>
      </c>
      <c r="N25" s="27" t="n">
        <f aca="false">IF(M25&gt;=0,1,0)</f>
        <v>1</v>
      </c>
    </row>
    <row r="26" customFormat="false" ht="15" hidden="false" customHeight="false" outlineLevel="0" collapsed="false">
      <c r="A26" s="27" t="n">
        <f aca="false">A25+1</f>
        <v>21</v>
      </c>
      <c r="B26" s="28" t="n">
        <f aca="false">MIN(Premissas!$B$11,B25*(1-Premissas!$B$12)+IF(A26=1,Premissas!$B$9,Premissas!$B$10*Premissas!$B$26))</f>
        <v>34.5744187680007</v>
      </c>
      <c r="C26" s="28" t="n">
        <f aca="false">MAX(0,B26-B25*(1-Premissas!$B$12))</f>
        <v>2</v>
      </c>
      <c r="D26" s="29" t="n">
        <f aca="false">B26*Premissas!$B$7*Premissas!$B$27</f>
        <v>51861.6281520011</v>
      </c>
      <c r="E26" s="29" t="n">
        <f aca="false">C26*Premissas!$B$8*Premissas!$B$27</f>
        <v>2000</v>
      </c>
      <c r="F26" s="29" t="n">
        <f aca="false">D26+E26</f>
        <v>53861.6281520011</v>
      </c>
      <c r="G26" s="29" t="n">
        <f aca="false">F26*Premissas!$B$14</f>
        <v>3231.69768912007</v>
      </c>
      <c r="H26" s="29" t="n">
        <f aca="false">F26*Premissas!$B$13</f>
        <v>16158.4884456003</v>
      </c>
      <c r="I26" s="29" t="n">
        <f aca="false">F26-G26-H26</f>
        <v>34471.4420172807</v>
      </c>
      <c r="J26" s="29" t="n">
        <f aca="false">Premissas!$B$15+Premissas!$B$16</f>
        <v>8000</v>
      </c>
      <c r="K26" s="29" t="n">
        <f aca="false">I26-J26</f>
        <v>26471.4420172807</v>
      </c>
      <c r="L26" s="29" t="n">
        <f aca="false">K26</f>
        <v>26471.4420172807</v>
      </c>
      <c r="M26" s="29" t="n">
        <f aca="false">M25+L26</f>
        <v>223499.341153245</v>
      </c>
      <c r="N26" s="27" t="n">
        <f aca="false">IF(M26&gt;=0,1,0)</f>
        <v>1</v>
      </c>
    </row>
    <row r="27" customFormat="false" ht="15" hidden="false" customHeight="false" outlineLevel="0" collapsed="false">
      <c r="A27" s="27" t="n">
        <f aca="false">A26+1</f>
        <v>22</v>
      </c>
      <c r="B27" s="28" t="n">
        <f aca="false">MIN(Premissas!$B$11,B26*(1-Premissas!$B$12)+IF(A27=1,Premissas!$B$9,Premissas!$B$10*Premissas!$B$26))</f>
        <v>35.8829303926407</v>
      </c>
      <c r="C27" s="28" t="n">
        <f aca="false">MAX(0,B27-B26*(1-Premissas!$B$12))</f>
        <v>2</v>
      </c>
      <c r="D27" s="29" t="n">
        <f aca="false">B27*Premissas!$B$7*Premissas!$B$27</f>
        <v>53824.3955889611</v>
      </c>
      <c r="E27" s="29" t="n">
        <f aca="false">C27*Premissas!$B$8*Premissas!$B$27</f>
        <v>2000</v>
      </c>
      <c r="F27" s="29" t="n">
        <f aca="false">D27+E27</f>
        <v>55824.3955889611</v>
      </c>
      <c r="G27" s="29" t="n">
        <f aca="false">F27*Premissas!$B$14</f>
        <v>3349.46373533766</v>
      </c>
      <c r="H27" s="29" t="n">
        <f aca="false">F27*Premissas!$B$13</f>
        <v>16747.3186766883</v>
      </c>
      <c r="I27" s="29" t="n">
        <f aca="false">F27-G27-H27</f>
        <v>35727.6131769351</v>
      </c>
      <c r="J27" s="29" t="n">
        <f aca="false">Premissas!$B$15+Premissas!$B$16</f>
        <v>8000</v>
      </c>
      <c r="K27" s="29" t="n">
        <f aca="false">I27-J27</f>
        <v>27727.6131769351</v>
      </c>
      <c r="L27" s="29" t="n">
        <f aca="false">K27</f>
        <v>27727.6131769351</v>
      </c>
      <c r="M27" s="29" t="n">
        <f aca="false">M26+L27</f>
        <v>251226.95433018</v>
      </c>
      <c r="N27" s="27" t="n">
        <f aca="false">IF(M27&gt;=0,1,0)</f>
        <v>1</v>
      </c>
    </row>
    <row r="28" customFormat="false" ht="15" hidden="false" customHeight="false" outlineLevel="0" collapsed="false">
      <c r="A28" s="27" t="n">
        <f aca="false">A27+1</f>
        <v>23</v>
      </c>
      <c r="B28" s="28" t="n">
        <f aca="false">MIN(Premissas!$B$11,B27*(1-Premissas!$B$12)+IF(A28=1,Premissas!$B$9,Premissas!$B$10*Premissas!$B$26))</f>
        <v>37.1652717847879</v>
      </c>
      <c r="C28" s="28" t="n">
        <f aca="false">MAX(0,B28-B27*(1-Premissas!$B$12))</f>
        <v>2</v>
      </c>
      <c r="D28" s="29" t="n">
        <f aca="false">B28*Premissas!$B$7*Premissas!$B$27</f>
        <v>55747.9076771819</v>
      </c>
      <c r="E28" s="29" t="n">
        <f aca="false">C28*Premissas!$B$8*Premissas!$B$27</f>
        <v>2000</v>
      </c>
      <c r="F28" s="29" t="n">
        <f aca="false">D28+E28</f>
        <v>57747.9076771819</v>
      </c>
      <c r="G28" s="29" t="n">
        <f aca="false">F28*Premissas!$B$14</f>
        <v>3464.87446063091</v>
      </c>
      <c r="H28" s="29" t="n">
        <f aca="false">F28*Premissas!$B$13</f>
        <v>17324.3723031546</v>
      </c>
      <c r="I28" s="29" t="n">
        <f aca="false">F28-G28-H28</f>
        <v>36958.6609133964</v>
      </c>
      <c r="J28" s="29" t="n">
        <f aca="false">Premissas!$B$15+Premissas!$B$16</f>
        <v>8000</v>
      </c>
      <c r="K28" s="29" t="n">
        <f aca="false">I28-J28</f>
        <v>28958.6609133964</v>
      </c>
      <c r="L28" s="29" t="n">
        <f aca="false">K28</f>
        <v>28958.6609133964</v>
      </c>
      <c r="M28" s="29" t="n">
        <f aca="false">M27+L28</f>
        <v>280185.615243577</v>
      </c>
      <c r="N28" s="27" t="n">
        <f aca="false">IF(M28&gt;=0,1,0)</f>
        <v>1</v>
      </c>
    </row>
    <row r="29" customFormat="false" ht="15" hidden="false" customHeight="false" outlineLevel="0" collapsed="false">
      <c r="A29" s="31" t="n">
        <f aca="false">A28+1</f>
        <v>24</v>
      </c>
      <c r="B29" s="32" t="n">
        <f aca="false">MIN(Premissas!$B$11,B28*(1-Premissas!$B$12)+IF(A29=1,Premissas!$B$9,Premissas!$B$10*Premissas!$B$26))</f>
        <v>38.4219663490921</v>
      </c>
      <c r="C29" s="32" t="n">
        <f aca="false">MAX(0,B29-B28*(1-Premissas!$B$12))</f>
        <v>2</v>
      </c>
      <c r="D29" s="33" t="n">
        <f aca="false">B29*Premissas!$B$7*Premissas!$B$27</f>
        <v>57632.9495236382</v>
      </c>
      <c r="E29" s="33" t="n">
        <f aca="false">C29*Premissas!$B$8*Premissas!$B$27</f>
        <v>2000</v>
      </c>
      <c r="F29" s="33" t="n">
        <f aca="false">D29+E29</f>
        <v>59632.9495236382</v>
      </c>
      <c r="G29" s="33" t="n">
        <f aca="false">F29*Premissas!$B$14</f>
        <v>3577.97697141829</v>
      </c>
      <c r="H29" s="33" t="n">
        <f aca="false">F29*Premissas!$B$13</f>
        <v>17889.8848570915</v>
      </c>
      <c r="I29" s="33" t="n">
        <f aca="false">F29-G29-H29</f>
        <v>38165.0876951285</v>
      </c>
      <c r="J29" s="33" t="n">
        <f aca="false">Premissas!$B$15+Premissas!$B$16</f>
        <v>8000</v>
      </c>
      <c r="K29" s="33" t="n">
        <f aca="false">I29-J29</f>
        <v>30165.0876951285</v>
      </c>
      <c r="L29" s="33" t="n">
        <f aca="false">K29</f>
        <v>30165.0876951285</v>
      </c>
      <c r="M29" s="33" t="n">
        <f aca="false">M28+L29</f>
        <v>310350.702938705</v>
      </c>
      <c r="N29" s="31" t="n">
        <f aca="false">IF(M29&gt;=0,1,0)</f>
        <v>1</v>
      </c>
    </row>
    <row r="30" customFormat="false" ht="15" hidden="false" customHeight="false" outlineLevel="0" collapsed="false">
      <c r="A30" s="27" t="n">
        <f aca="false">A29+1</f>
        <v>25</v>
      </c>
      <c r="B30" s="28" t="n">
        <f aca="false">MIN(Premissas!$B$11,B29*(1-Premissas!$B$12)+IF(A30=1,Premissas!$B$9,Premissas!$B$10*Premissas!$B$26))</f>
        <v>39.6535270221103</v>
      </c>
      <c r="C30" s="28" t="n">
        <f aca="false">MAX(0,B30-B29*(1-Premissas!$B$12))</f>
        <v>2</v>
      </c>
      <c r="D30" s="29" t="n">
        <f aca="false">B30*Premissas!$B$7*Premissas!$B$27</f>
        <v>59480.2905331655</v>
      </c>
      <c r="E30" s="29" t="n">
        <f aca="false">C30*Premissas!$B$8*Premissas!$B$27</f>
        <v>2000</v>
      </c>
      <c r="F30" s="29" t="n">
        <f aca="false">D30+E30</f>
        <v>61480.2905331655</v>
      </c>
      <c r="G30" s="29" t="n">
        <f aca="false">F30*Premissas!$B$14</f>
        <v>3688.81743198993</v>
      </c>
      <c r="H30" s="29" t="n">
        <f aca="false">F30*Premissas!$B$13</f>
        <v>18444.0871599496</v>
      </c>
      <c r="I30" s="29" t="n">
        <f aca="false">F30-G30-H30</f>
        <v>39347.3859412259</v>
      </c>
      <c r="J30" s="29" t="n">
        <f aca="false">Premissas!$B$15+Premissas!$B$16</f>
        <v>8000</v>
      </c>
      <c r="K30" s="29" t="n">
        <f aca="false">I30-J30</f>
        <v>31347.3859412259</v>
      </c>
      <c r="L30" s="29" t="n">
        <f aca="false">K30</f>
        <v>31347.3859412259</v>
      </c>
      <c r="M30" s="29" t="n">
        <f aca="false">M29+L30</f>
        <v>341698.088879931</v>
      </c>
      <c r="N30" s="27" t="n">
        <f aca="false">IF(M30&gt;=0,1,0)</f>
        <v>1</v>
      </c>
    </row>
    <row r="31" customFormat="false" ht="15" hidden="false" customHeight="false" outlineLevel="0" collapsed="false">
      <c r="A31" s="27" t="n">
        <f aca="false">A30+1</f>
        <v>26</v>
      </c>
      <c r="B31" s="28" t="n">
        <f aca="false">MIN(Premissas!$B$11,B30*(1-Premissas!$B$12)+IF(A31=1,Premissas!$B$9,Premissas!$B$10*Premissas!$B$26))</f>
        <v>40</v>
      </c>
      <c r="C31" s="28" t="n">
        <f aca="false">MAX(0,B31-B30*(1-Premissas!$B$12))</f>
        <v>1.13954351833191</v>
      </c>
      <c r="D31" s="29" t="n">
        <f aca="false">B31*Premissas!$B$7*Premissas!$B$27</f>
        <v>60000</v>
      </c>
      <c r="E31" s="29" t="n">
        <f aca="false">C31*Premissas!$B$8*Premissas!$B$27</f>
        <v>1139.54351833191</v>
      </c>
      <c r="F31" s="29" t="n">
        <f aca="false">D31+E31</f>
        <v>61139.5435183319</v>
      </c>
      <c r="G31" s="29" t="n">
        <f aca="false">F31*Premissas!$B$14</f>
        <v>3668.37261109991</v>
      </c>
      <c r="H31" s="29" t="n">
        <f aca="false">F31*Premissas!$B$13</f>
        <v>18341.8630554996</v>
      </c>
      <c r="I31" s="29" t="n">
        <f aca="false">F31-G31-H31</f>
        <v>39129.3078517324</v>
      </c>
      <c r="J31" s="29" t="n">
        <f aca="false">Premissas!$B$15+Premissas!$B$16</f>
        <v>8000</v>
      </c>
      <c r="K31" s="29" t="n">
        <f aca="false">I31-J31</f>
        <v>31129.3078517324</v>
      </c>
      <c r="L31" s="29" t="n">
        <f aca="false">K31</f>
        <v>31129.3078517324</v>
      </c>
      <c r="M31" s="29" t="n">
        <f aca="false">M30+L31</f>
        <v>372827.396731663</v>
      </c>
      <c r="N31" s="27" t="n">
        <f aca="false">IF(M31&gt;=0,1,0)</f>
        <v>1</v>
      </c>
    </row>
    <row r="32" customFormat="false" ht="15" hidden="false" customHeight="false" outlineLevel="0" collapsed="false">
      <c r="A32" s="27" t="n">
        <f aca="false">A31+1</f>
        <v>27</v>
      </c>
      <c r="B32" s="28" t="n">
        <f aca="false">MIN(Premissas!$B$11,B31*(1-Premissas!$B$12)+IF(A32=1,Premissas!$B$9,Premissas!$B$10*Premissas!$B$26))</f>
        <v>40</v>
      </c>
      <c r="C32" s="28" t="n">
        <f aca="false">MAX(0,B32-B31*(1-Premissas!$B$12))</f>
        <v>0.799999999999997</v>
      </c>
      <c r="D32" s="29" t="n">
        <f aca="false">B32*Premissas!$B$7*Premissas!$B$27</f>
        <v>60000</v>
      </c>
      <c r="E32" s="29" t="n">
        <f aca="false">C32*Premissas!$B$8*Premissas!$B$27</f>
        <v>799.999999999997</v>
      </c>
      <c r="F32" s="29" t="n">
        <f aca="false">D32+E32</f>
        <v>60800</v>
      </c>
      <c r="G32" s="29" t="n">
        <f aca="false">F32*Premissas!$B$14</f>
        <v>3648</v>
      </c>
      <c r="H32" s="29" t="n">
        <f aca="false">F32*Premissas!$B$13</f>
        <v>18240</v>
      </c>
      <c r="I32" s="29" t="n">
        <f aca="false">F32-G32-H32</f>
        <v>38912</v>
      </c>
      <c r="J32" s="29" t="n">
        <f aca="false">Premissas!$B$15+Premissas!$B$16</f>
        <v>8000</v>
      </c>
      <c r="K32" s="29" t="n">
        <f aca="false">I32-J32</f>
        <v>30912</v>
      </c>
      <c r="L32" s="29" t="n">
        <f aca="false">K32</f>
        <v>30912</v>
      </c>
      <c r="M32" s="29" t="n">
        <f aca="false">M31+L32</f>
        <v>403739.396731663</v>
      </c>
      <c r="N32" s="27" t="n">
        <f aca="false">IF(M32&gt;=0,1,0)</f>
        <v>1</v>
      </c>
    </row>
    <row r="33" customFormat="false" ht="15" hidden="false" customHeight="false" outlineLevel="0" collapsed="false">
      <c r="A33" s="27" t="n">
        <f aca="false">A32+1</f>
        <v>28</v>
      </c>
      <c r="B33" s="28" t="n">
        <f aca="false">MIN(Premissas!$B$11,B32*(1-Premissas!$B$12)+IF(A33=1,Premissas!$B$9,Premissas!$B$10*Premissas!$B$26))</f>
        <v>40</v>
      </c>
      <c r="C33" s="28" t="n">
        <f aca="false">MAX(0,B33-B32*(1-Premissas!$B$12))</f>
        <v>0.799999999999997</v>
      </c>
      <c r="D33" s="29" t="n">
        <f aca="false">B33*Premissas!$B$7*Premissas!$B$27</f>
        <v>60000</v>
      </c>
      <c r="E33" s="29" t="n">
        <f aca="false">C33*Premissas!$B$8*Premissas!$B$27</f>
        <v>799.999999999997</v>
      </c>
      <c r="F33" s="29" t="n">
        <f aca="false">D33+E33</f>
        <v>60800</v>
      </c>
      <c r="G33" s="29" t="n">
        <f aca="false">F33*Premissas!$B$14</f>
        <v>3648</v>
      </c>
      <c r="H33" s="29" t="n">
        <f aca="false">F33*Premissas!$B$13</f>
        <v>18240</v>
      </c>
      <c r="I33" s="29" t="n">
        <f aca="false">F33-G33-H33</f>
        <v>38912</v>
      </c>
      <c r="J33" s="29" t="n">
        <f aca="false">Premissas!$B$15+Premissas!$B$16</f>
        <v>8000</v>
      </c>
      <c r="K33" s="29" t="n">
        <f aca="false">I33-J33</f>
        <v>30912</v>
      </c>
      <c r="L33" s="29" t="n">
        <f aca="false">K33</f>
        <v>30912</v>
      </c>
      <c r="M33" s="29" t="n">
        <f aca="false">M32+L33</f>
        <v>434651.396731663</v>
      </c>
      <c r="N33" s="27" t="n">
        <f aca="false">IF(M33&gt;=0,1,0)</f>
        <v>1</v>
      </c>
    </row>
    <row r="34" customFormat="false" ht="15" hidden="false" customHeight="false" outlineLevel="0" collapsed="false">
      <c r="A34" s="27" t="n">
        <f aca="false">A33+1</f>
        <v>29</v>
      </c>
      <c r="B34" s="28" t="n">
        <f aca="false">MIN(Premissas!$B$11,B33*(1-Premissas!$B$12)+IF(A34=1,Premissas!$B$9,Premissas!$B$10*Premissas!$B$26))</f>
        <v>40</v>
      </c>
      <c r="C34" s="28" t="n">
        <f aca="false">MAX(0,B34-B33*(1-Premissas!$B$12))</f>
        <v>0.799999999999997</v>
      </c>
      <c r="D34" s="29" t="n">
        <f aca="false">B34*Premissas!$B$7*Premissas!$B$27</f>
        <v>60000</v>
      </c>
      <c r="E34" s="29" t="n">
        <f aca="false">C34*Premissas!$B$8*Premissas!$B$27</f>
        <v>799.999999999997</v>
      </c>
      <c r="F34" s="29" t="n">
        <f aca="false">D34+E34</f>
        <v>60800</v>
      </c>
      <c r="G34" s="29" t="n">
        <f aca="false">F34*Premissas!$B$14</f>
        <v>3648</v>
      </c>
      <c r="H34" s="29" t="n">
        <f aca="false">F34*Premissas!$B$13</f>
        <v>18240</v>
      </c>
      <c r="I34" s="29" t="n">
        <f aca="false">F34-G34-H34</f>
        <v>38912</v>
      </c>
      <c r="J34" s="29" t="n">
        <f aca="false">Premissas!$B$15+Premissas!$B$16</f>
        <v>8000</v>
      </c>
      <c r="K34" s="29" t="n">
        <f aca="false">I34-J34</f>
        <v>30912</v>
      </c>
      <c r="L34" s="29" t="n">
        <f aca="false">K34</f>
        <v>30912</v>
      </c>
      <c r="M34" s="29" t="n">
        <f aca="false">M33+L34</f>
        <v>465563.396731663</v>
      </c>
      <c r="N34" s="27" t="n">
        <f aca="false">IF(M34&gt;=0,1,0)</f>
        <v>1</v>
      </c>
    </row>
    <row r="35" customFormat="false" ht="15" hidden="false" customHeight="false" outlineLevel="0" collapsed="false">
      <c r="A35" s="27" t="n">
        <f aca="false">A34+1</f>
        <v>30</v>
      </c>
      <c r="B35" s="28" t="n">
        <f aca="false">MIN(Premissas!$B$11,B34*(1-Premissas!$B$12)+IF(A35=1,Premissas!$B$9,Premissas!$B$10*Premissas!$B$26))</f>
        <v>40</v>
      </c>
      <c r="C35" s="28" t="n">
        <f aca="false">MAX(0,B35-B34*(1-Premissas!$B$12))</f>
        <v>0.799999999999997</v>
      </c>
      <c r="D35" s="29" t="n">
        <f aca="false">B35*Premissas!$B$7*Premissas!$B$27</f>
        <v>60000</v>
      </c>
      <c r="E35" s="29" t="n">
        <f aca="false">C35*Premissas!$B$8*Premissas!$B$27</f>
        <v>799.999999999997</v>
      </c>
      <c r="F35" s="29" t="n">
        <f aca="false">D35+E35</f>
        <v>60800</v>
      </c>
      <c r="G35" s="29" t="n">
        <f aca="false">F35*Premissas!$B$14</f>
        <v>3648</v>
      </c>
      <c r="H35" s="29" t="n">
        <f aca="false">F35*Premissas!$B$13</f>
        <v>18240</v>
      </c>
      <c r="I35" s="29" t="n">
        <f aca="false">F35-G35-H35</f>
        <v>38912</v>
      </c>
      <c r="J35" s="29" t="n">
        <f aca="false">Premissas!$B$15+Premissas!$B$16</f>
        <v>8000</v>
      </c>
      <c r="K35" s="29" t="n">
        <f aca="false">I35-J35</f>
        <v>30912</v>
      </c>
      <c r="L35" s="29" t="n">
        <f aca="false">K35</f>
        <v>30912</v>
      </c>
      <c r="M35" s="29" t="n">
        <f aca="false">M34+L35</f>
        <v>496475.396731663</v>
      </c>
      <c r="N35" s="27" t="n">
        <f aca="false">IF(M35&gt;=0,1,0)</f>
        <v>1</v>
      </c>
    </row>
    <row r="36" customFormat="false" ht="15" hidden="false" customHeight="false" outlineLevel="0" collapsed="false">
      <c r="A36" s="27" t="n">
        <f aca="false">A35+1</f>
        <v>31</v>
      </c>
      <c r="B36" s="28" t="n">
        <f aca="false">MIN(Premissas!$B$11,B35*(1-Premissas!$B$12)+IF(A36=1,Premissas!$B$9,Premissas!$B$10*Premissas!$B$26))</f>
        <v>40</v>
      </c>
      <c r="C36" s="28" t="n">
        <f aca="false">MAX(0,B36-B35*(1-Premissas!$B$12))</f>
        <v>0.799999999999997</v>
      </c>
      <c r="D36" s="29" t="n">
        <f aca="false">B36*Premissas!$B$7*Premissas!$B$27</f>
        <v>60000</v>
      </c>
      <c r="E36" s="29" t="n">
        <f aca="false">C36*Premissas!$B$8*Premissas!$B$27</f>
        <v>799.999999999997</v>
      </c>
      <c r="F36" s="29" t="n">
        <f aca="false">D36+E36</f>
        <v>60800</v>
      </c>
      <c r="G36" s="29" t="n">
        <f aca="false">F36*Premissas!$B$14</f>
        <v>3648</v>
      </c>
      <c r="H36" s="29" t="n">
        <f aca="false">F36*Premissas!$B$13</f>
        <v>18240</v>
      </c>
      <c r="I36" s="29" t="n">
        <f aca="false">F36-G36-H36</f>
        <v>38912</v>
      </c>
      <c r="J36" s="29" t="n">
        <f aca="false">Premissas!$B$15+Premissas!$B$16</f>
        <v>8000</v>
      </c>
      <c r="K36" s="29" t="n">
        <f aca="false">I36-J36</f>
        <v>30912</v>
      </c>
      <c r="L36" s="29" t="n">
        <f aca="false">K36</f>
        <v>30912</v>
      </c>
      <c r="M36" s="29" t="n">
        <f aca="false">M35+L36</f>
        <v>527387.396731664</v>
      </c>
      <c r="N36" s="27" t="n">
        <f aca="false">IF(M36&gt;=0,1,0)</f>
        <v>1</v>
      </c>
    </row>
    <row r="37" customFormat="false" ht="15" hidden="false" customHeight="false" outlineLevel="0" collapsed="false">
      <c r="A37" s="27" t="n">
        <f aca="false">A36+1</f>
        <v>32</v>
      </c>
      <c r="B37" s="28" t="n">
        <f aca="false">MIN(Premissas!$B$11,B36*(1-Premissas!$B$12)+IF(A37=1,Premissas!$B$9,Premissas!$B$10*Premissas!$B$26))</f>
        <v>40</v>
      </c>
      <c r="C37" s="28" t="n">
        <f aca="false">MAX(0,B37-B36*(1-Premissas!$B$12))</f>
        <v>0.799999999999997</v>
      </c>
      <c r="D37" s="29" t="n">
        <f aca="false">B37*Premissas!$B$7*Premissas!$B$27</f>
        <v>60000</v>
      </c>
      <c r="E37" s="29" t="n">
        <f aca="false">C37*Premissas!$B$8*Premissas!$B$27</f>
        <v>799.999999999997</v>
      </c>
      <c r="F37" s="29" t="n">
        <f aca="false">D37+E37</f>
        <v>60800</v>
      </c>
      <c r="G37" s="29" t="n">
        <f aca="false">F37*Premissas!$B$14</f>
        <v>3648</v>
      </c>
      <c r="H37" s="29" t="n">
        <f aca="false">F37*Premissas!$B$13</f>
        <v>18240</v>
      </c>
      <c r="I37" s="29" t="n">
        <f aca="false">F37-G37-H37</f>
        <v>38912</v>
      </c>
      <c r="J37" s="29" t="n">
        <f aca="false">Premissas!$B$15+Premissas!$B$16</f>
        <v>8000</v>
      </c>
      <c r="K37" s="29" t="n">
        <f aca="false">I37-J37</f>
        <v>30912</v>
      </c>
      <c r="L37" s="29" t="n">
        <f aca="false">K37</f>
        <v>30912</v>
      </c>
      <c r="M37" s="29" t="n">
        <f aca="false">M36+L37</f>
        <v>558299.396731664</v>
      </c>
      <c r="N37" s="27" t="n">
        <f aca="false">IF(M37&gt;=0,1,0)</f>
        <v>1</v>
      </c>
    </row>
    <row r="38" customFormat="false" ht="15" hidden="false" customHeight="false" outlineLevel="0" collapsed="false">
      <c r="A38" s="27" t="n">
        <f aca="false">A37+1</f>
        <v>33</v>
      </c>
      <c r="B38" s="28" t="n">
        <f aca="false">MIN(Premissas!$B$11,B37*(1-Premissas!$B$12)+IF(A38=1,Premissas!$B$9,Premissas!$B$10*Premissas!$B$26))</f>
        <v>40</v>
      </c>
      <c r="C38" s="28" t="n">
        <f aca="false">MAX(0,B38-B37*(1-Premissas!$B$12))</f>
        <v>0.799999999999997</v>
      </c>
      <c r="D38" s="29" t="n">
        <f aca="false">B38*Premissas!$B$7*Premissas!$B$27</f>
        <v>60000</v>
      </c>
      <c r="E38" s="29" t="n">
        <f aca="false">C38*Premissas!$B$8*Premissas!$B$27</f>
        <v>799.999999999997</v>
      </c>
      <c r="F38" s="29" t="n">
        <f aca="false">D38+E38</f>
        <v>60800</v>
      </c>
      <c r="G38" s="29" t="n">
        <f aca="false">F38*Premissas!$B$14</f>
        <v>3648</v>
      </c>
      <c r="H38" s="29" t="n">
        <f aca="false">F38*Premissas!$B$13</f>
        <v>18240</v>
      </c>
      <c r="I38" s="29" t="n">
        <f aca="false">F38-G38-H38</f>
        <v>38912</v>
      </c>
      <c r="J38" s="29" t="n">
        <f aca="false">Premissas!$B$15+Premissas!$B$16</f>
        <v>8000</v>
      </c>
      <c r="K38" s="29" t="n">
        <f aca="false">I38-J38</f>
        <v>30912</v>
      </c>
      <c r="L38" s="29" t="n">
        <f aca="false">K38</f>
        <v>30912</v>
      </c>
      <c r="M38" s="29" t="n">
        <f aca="false">M37+L38</f>
        <v>589211.396731664</v>
      </c>
      <c r="N38" s="27" t="n">
        <f aca="false">IF(M38&gt;=0,1,0)</f>
        <v>1</v>
      </c>
    </row>
    <row r="39" customFormat="false" ht="15" hidden="false" customHeight="false" outlineLevel="0" collapsed="false">
      <c r="A39" s="27" t="n">
        <f aca="false">A38+1</f>
        <v>34</v>
      </c>
      <c r="B39" s="28" t="n">
        <f aca="false">MIN(Premissas!$B$11,B38*(1-Premissas!$B$12)+IF(A39=1,Premissas!$B$9,Premissas!$B$10*Premissas!$B$26))</f>
        <v>40</v>
      </c>
      <c r="C39" s="28" t="n">
        <f aca="false">MAX(0,B39-B38*(1-Premissas!$B$12))</f>
        <v>0.799999999999997</v>
      </c>
      <c r="D39" s="29" t="n">
        <f aca="false">B39*Premissas!$B$7*Premissas!$B$27</f>
        <v>60000</v>
      </c>
      <c r="E39" s="29" t="n">
        <f aca="false">C39*Premissas!$B$8*Premissas!$B$27</f>
        <v>799.999999999997</v>
      </c>
      <c r="F39" s="29" t="n">
        <f aca="false">D39+E39</f>
        <v>60800</v>
      </c>
      <c r="G39" s="29" t="n">
        <f aca="false">F39*Premissas!$B$14</f>
        <v>3648</v>
      </c>
      <c r="H39" s="29" t="n">
        <f aca="false">F39*Premissas!$B$13</f>
        <v>18240</v>
      </c>
      <c r="I39" s="29" t="n">
        <f aca="false">F39-G39-H39</f>
        <v>38912</v>
      </c>
      <c r="J39" s="29" t="n">
        <f aca="false">Premissas!$B$15+Premissas!$B$16</f>
        <v>8000</v>
      </c>
      <c r="K39" s="29" t="n">
        <f aca="false">I39-J39</f>
        <v>30912</v>
      </c>
      <c r="L39" s="29" t="n">
        <f aca="false">K39</f>
        <v>30912</v>
      </c>
      <c r="M39" s="29" t="n">
        <f aca="false">M38+L39</f>
        <v>620123.396731664</v>
      </c>
      <c r="N39" s="27" t="n">
        <f aca="false">IF(M39&gt;=0,1,0)</f>
        <v>1</v>
      </c>
    </row>
    <row r="40" customFormat="false" ht="15" hidden="false" customHeight="false" outlineLevel="0" collapsed="false">
      <c r="A40" s="27" t="n">
        <f aca="false">A39+1</f>
        <v>35</v>
      </c>
      <c r="B40" s="28" t="n">
        <f aca="false">MIN(Premissas!$B$11,B39*(1-Premissas!$B$12)+IF(A40=1,Premissas!$B$9,Premissas!$B$10*Premissas!$B$26))</f>
        <v>40</v>
      </c>
      <c r="C40" s="28" t="n">
        <f aca="false">MAX(0,B40-B39*(1-Premissas!$B$12))</f>
        <v>0.799999999999997</v>
      </c>
      <c r="D40" s="29" t="n">
        <f aca="false">B40*Premissas!$B$7*Premissas!$B$27</f>
        <v>60000</v>
      </c>
      <c r="E40" s="29" t="n">
        <f aca="false">C40*Premissas!$B$8*Premissas!$B$27</f>
        <v>799.999999999997</v>
      </c>
      <c r="F40" s="29" t="n">
        <f aca="false">D40+E40</f>
        <v>60800</v>
      </c>
      <c r="G40" s="29" t="n">
        <f aca="false">F40*Premissas!$B$14</f>
        <v>3648</v>
      </c>
      <c r="H40" s="29" t="n">
        <f aca="false">F40*Premissas!$B$13</f>
        <v>18240</v>
      </c>
      <c r="I40" s="29" t="n">
        <f aca="false">F40-G40-H40</f>
        <v>38912</v>
      </c>
      <c r="J40" s="29" t="n">
        <f aca="false">Premissas!$B$15+Premissas!$B$16</f>
        <v>8000</v>
      </c>
      <c r="K40" s="29" t="n">
        <f aca="false">I40-J40</f>
        <v>30912</v>
      </c>
      <c r="L40" s="29" t="n">
        <f aca="false">K40</f>
        <v>30912</v>
      </c>
      <c r="M40" s="29" t="n">
        <f aca="false">M39+L40</f>
        <v>651035.396731664</v>
      </c>
      <c r="N40" s="27" t="n">
        <f aca="false">IF(M40&gt;=0,1,0)</f>
        <v>1</v>
      </c>
    </row>
    <row r="41" customFormat="false" ht="15" hidden="false" customHeight="false" outlineLevel="0" collapsed="false">
      <c r="A41" s="31" t="n">
        <f aca="false">A40+1</f>
        <v>36</v>
      </c>
      <c r="B41" s="32" t="n">
        <f aca="false">MIN(Premissas!$B$11,B40*(1-Premissas!$B$12)+IF(A41=1,Premissas!$B$9,Premissas!$B$10*Premissas!$B$26))</f>
        <v>40</v>
      </c>
      <c r="C41" s="32" t="n">
        <f aca="false">MAX(0,B41-B40*(1-Premissas!$B$12))</f>
        <v>0.799999999999997</v>
      </c>
      <c r="D41" s="33" t="n">
        <f aca="false">B41*Premissas!$B$7*Premissas!$B$27</f>
        <v>60000</v>
      </c>
      <c r="E41" s="33" t="n">
        <f aca="false">C41*Premissas!$B$8*Premissas!$B$27</f>
        <v>799.999999999997</v>
      </c>
      <c r="F41" s="33" t="n">
        <f aca="false">D41+E41</f>
        <v>60800</v>
      </c>
      <c r="G41" s="33" t="n">
        <f aca="false">F41*Premissas!$B$14</f>
        <v>3648</v>
      </c>
      <c r="H41" s="33" t="n">
        <f aca="false">F41*Premissas!$B$13</f>
        <v>18240</v>
      </c>
      <c r="I41" s="33" t="n">
        <f aca="false">F41-G41-H41</f>
        <v>38912</v>
      </c>
      <c r="J41" s="33" t="n">
        <f aca="false">Premissas!$B$15+Premissas!$B$16</f>
        <v>8000</v>
      </c>
      <c r="K41" s="33" t="n">
        <f aca="false">I41-J41</f>
        <v>30912</v>
      </c>
      <c r="L41" s="33" t="n">
        <f aca="false">K41</f>
        <v>30912</v>
      </c>
      <c r="M41" s="33" t="n">
        <f aca="false">M40+L41</f>
        <v>681947.396731664</v>
      </c>
      <c r="N41" s="31" t="n">
        <f aca="false">IF(M41&gt;=0,1,0)</f>
        <v>1</v>
      </c>
    </row>
    <row r="43" customFormat="false" ht="15" hidden="false" customHeight="false" outlineLevel="0" collapsed="false">
      <c r="A43" s="15" t="s">
        <v>147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6" min="4" style="0" width="16"/>
    <col collapsed="false" customWidth="true" hidden="false" outlineLevel="0" max="7" min="7" style="0" width="14"/>
    <col collapsed="false" customWidth="true" hidden="false" outlineLevel="0" max="13" min="8" style="0" width="16"/>
    <col collapsed="false" customWidth="true" hidden="false" outlineLevel="0" max="14" min="14" style="0" width="12"/>
  </cols>
  <sheetData>
    <row r="1" customFormat="false" ht="17.35" hidden="false" customHeight="false" outlineLevel="0" collapsed="false">
      <c r="A1" s="1" t="s">
        <v>148</v>
      </c>
    </row>
    <row r="2" customFormat="false" ht="15" hidden="false" customHeight="false" outlineLevel="0" collapsed="false">
      <c r="A2" s="0" t="s">
        <v>33</v>
      </c>
      <c r="B2" s="5" t="str">
        <f aca="false">Premissas!$B$19</f>
        <v>Base</v>
      </c>
    </row>
    <row r="4" customFormat="false" ht="45" hidden="false" customHeight="true" outlineLevel="0" collapsed="false">
      <c r="A4" s="6" t="s">
        <v>133</v>
      </c>
      <c r="B4" s="6" t="s">
        <v>134</v>
      </c>
      <c r="C4" s="6" t="s">
        <v>135</v>
      </c>
      <c r="D4" s="6" t="s">
        <v>136</v>
      </c>
      <c r="E4" s="6" t="s">
        <v>137</v>
      </c>
      <c r="F4" s="6" t="s">
        <v>138</v>
      </c>
      <c r="G4" s="6" t="s">
        <v>139</v>
      </c>
      <c r="H4" s="6" t="s">
        <v>140</v>
      </c>
      <c r="I4" s="6" t="s">
        <v>141</v>
      </c>
      <c r="J4" s="6" t="s">
        <v>142</v>
      </c>
      <c r="K4" s="6" t="s">
        <v>143</v>
      </c>
      <c r="L4" s="6" t="s">
        <v>144</v>
      </c>
      <c r="M4" s="6" t="s">
        <v>145</v>
      </c>
      <c r="N4" s="6" t="s">
        <v>146</v>
      </c>
    </row>
    <row r="5" customFormat="false" ht="15" hidden="false" customHeight="false" outlineLevel="0" collapsed="false">
      <c r="A5" s="27" t="n">
        <v>0</v>
      </c>
      <c r="B5" s="28" t="n">
        <v>0</v>
      </c>
      <c r="C5" s="28" t="n">
        <v>0</v>
      </c>
      <c r="D5" s="29" t="n">
        <v>0</v>
      </c>
      <c r="E5" s="29" t="n">
        <v>0</v>
      </c>
      <c r="F5" s="29" t="n">
        <v>0</v>
      </c>
      <c r="G5" s="29" t="n">
        <v>0</v>
      </c>
      <c r="H5" s="29" t="n">
        <v>0</v>
      </c>
      <c r="I5" s="29" t="n">
        <v>0</v>
      </c>
      <c r="J5" s="29" t="n">
        <v>0</v>
      </c>
      <c r="K5" s="29" t="n">
        <v>0</v>
      </c>
      <c r="L5" s="30" t="n">
        <f aca="false">-Premissas!$C$6</f>
        <v>-40000</v>
      </c>
      <c r="M5" s="29" t="n">
        <f aca="false">L5</f>
        <v>-40000</v>
      </c>
      <c r="N5" s="27" t="n">
        <f aca="false">IF(M5&gt;=0,1,0)</f>
        <v>0</v>
      </c>
    </row>
    <row r="6" customFormat="false" ht="15" hidden="false" customHeight="false" outlineLevel="0" collapsed="false">
      <c r="A6" s="27" t="n">
        <f aca="false">A5+1</f>
        <v>1</v>
      </c>
      <c r="B6" s="28" t="n">
        <f aca="false">MIN(Premissas!$C$11,B5*(1-Premissas!$C$12)+IF(A6=1,Premissas!$C$9,Premissas!$C$10*Premissas!$B$26))</f>
        <v>1</v>
      </c>
      <c r="C6" s="28" t="n">
        <f aca="false">MAX(0,B6-B5*(1-Premissas!$C$12))</f>
        <v>1</v>
      </c>
      <c r="D6" s="29" t="n">
        <f aca="false">B6*Premissas!$C$7*Premissas!$B$27</f>
        <v>1200</v>
      </c>
      <c r="E6" s="29" t="n">
        <f aca="false">C6*Premissas!$C$8*Premissas!$B$27</f>
        <v>8000</v>
      </c>
      <c r="F6" s="29" t="n">
        <f aca="false">D6+E6</f>
        <v>9200</v>
      </c>
      <c r="G6" s="29" t="n">
        <f aca="false">F6*Premissas!$C$14</f>
        <v>552</v>
      </c>
      <c r="H6" s="29" t="n">
        <f aca="false">F6*Premissas!$C$13</f>
        <v>3220</v>
      </c>
      <c r="I6" s="29" t="n">
        <f aca="false">F6-G6-H6</f>
        <v>5428</v>
      </c>
      <c r="J6" s="29" t="n">
        <f aca="false">Premissas!$C$15+Premissas!$C$16</f>
        <v>10000</v>
      </c>
      <c r="K6" s="29" t="n">
        <f aca="false">I6-J6</f>
        <v>-4572</v>
      </c>
      <c r="L6" s="29" t="n">
        <f aca="false">K6</f>
        <v>-4572</v>
      </c>
      <c r="M6" s="29" t="n">
        <f aca="false">M5+L6</f>
        <v>-44572</v>
      </c>
      <c r="N6" s="27" t="n">
        <f aca="false">IF(M6&gt;=0,1,0)</f>
        <v>0</v>
      </c>
    </row>
    <row r="7" customFormat="false" ht="15" hidden="false" customHeight="false" outlineLevel="0" collapsed="false">
      <c r="A7" s="27" t="n">
        <f aca="false">A6+1</f>
        <v>2</v>
      </c>
      <c r="B7" s="28" t="n">
        <f aca="false">MIN(Premissas!$C$11,B6*(1-Premissas!$C$12)+IF(A7=1,Premissas!$C$9,Premissas!$C$10*Premissas!$B$26))</f>
        <v>2.47</v>
      </c>
      <c r="C7" s="28" t="n">
        <f aca="false">MAX(0,B7-B6*(1-Premissas!$C$12))</f>
        <v>1.5</v>
      </c>
      <c r="D7" s="29" t="n">
        <f aca="false">B7*Premissas!$C$7*Premissas!$B$27</f>
        <v>2964</v>
      </c>
      <c r="E7" s="29" t="n">
        <f aca="false">C7*Premissas!$C$8*Premissas!$B$27</f>
        <v>12000</v>
      </c>
      <c r="F7" s="29" t="n">
        <f aca="false">D7+E7</f>
        <v>14964</v>
      </c>
      <c r="G7" s="29" t="n">
        <f aca="false">F7*Premissas!$C$14</f>
        <v>897.84</v>
      </c>
      <c r="H7" s="29" t="n">
        <f aca="false">F7*Premissas!$C$13</f>
        <v>5237.4</v>
      </c>
      <c r="I7" s="29" t="n">
        <f aca="false">F7-G7-H7</f>
        <v>8828.76</v>
      </c>
      <c r="J7" s="29" t="n">
        <f aca="false">Premissas!$C$15+Premissas!$C$16</f>
        <v>10000</v>
      </c>
      <c r="K7" s="29" t="n">
        <f aca="false">I7-J7</f>
        <v>-1171.24</v>
      </c>
      <c r="L7" s="29" t="n">
        <f aca="false">K7</f>
        <v>-1171.24</v>
      </c>
      <c r="M7" s="29" t="n">
        <f aca="false">M6+L7</f>
        <v>-45743.24</v>
      </c>
      <c r="N7" s="27" t="n">
        <f aca="false">IF(M7&gt;=0,1,0)</f>
        <v>0</v>
      </c>
    </row>
    <row r="8" customFormat="false" ht="15" hidden="false" customHeight="false" outlineLevel="0" collapsed="false">
      <c r="A8" s="27" t="n">
        <f aca="false">A7+1</f>
        <v>3</v>
      </c>
      <c r="B8" s="28" t="n">
        <f aca="false">MIN(Premissas!$C$11,B7*(1-Premissas!$C$12)+IF(A8=1,Premissas!$C$9,Premissas!$C$10*Premissas!$B$26))</f>
        <v>3.8959</v>
      </c>
      <c r="C8" s="28" t="n">
        <f aca="false">MAX(0,B8-B7*(1-Premissas!$C$12))</f>
        <v>1.5</v>
      </c>
      <c r="D8" s="29" t="n">
        <f aca="false">B8*Premissas!$C$7*Premissas!$B$27</f>
        <v>4675.08</v>
      </c>
      <c r="E8" s="29" t="n">
        <f aca="false">C8*Premissas!$C$8*Premissas!$B$27</f>
        <v>12000</v>
      </c>
      <c r="F8" s="29" t="n">
        <f aca="false">D8+E8</f>
        <v>16675.08</v>
      </c>
      <c r="G8" s="29" t="n">
        <f aca="false">F8*Premissas!$C$14</f>
        <v>1000.5048</v>
      </c>
      <c r="H8" s="29" t="n">
        <f aca="false">F8*Premissas!$C$13</f>
        <v>5836.278</v>
      </c>
      <c r="I8" s="29" t="n">
        <f aca="false">F8-G8-H8</f>
        <v>9838.2972</v>
      </c>
      <c r="J8" s="29" t="n">
        <f aca="false">Premissas!$C$15+Premissas!$C$16</f>
        <v>10000</v>
      </c>
      <c r="K8" s="29" t="n">
        <f aca="false">I8-J8</f>
        <v>-161.702799999999</v>
      </c>
      <c r="L8" s="29" t="n">
        <f aca="false">K8</f>
        <v>-161.702799999999</v>
      </c>
      <c r="M8" s="29" t="n">
        <f aca="false">M7+L8</f>
        <v>-45904.9428</v>
      </c>
      <c r="N8" s="27" t="n">
        <f aca="false">IF(M8&gt;=0,1,0)</f>
        <v>0</v>
      </c>
    </row>
    <row r="9" customFormat="false" ht="15" hidden="false" customHeight="false" outlineLevel="0" collapsed="false">
      <c r="A9" s="27" t="n">
        <f aca="false">A8+1</f>
        <v>4</v>
      </c>
      <c r="B9" s="28" t="n">
        <f aca="false">MIN(Premissas!$C$11,B8*(1-Premissas!$C$12)+IF(A9=1,Premissas!$C$9,Premissas!$C$10*Premissas!$B$26))</f>
        <v>5.279023</v>
      </c>
      <c r="C9" s="28" t="n">
        <f aca="false">MAX(0,B9-B8*(1-Premissas!$C$12))</f>
        <v>1.5</v>
      </c>
      <c r="D9" s="29" t="n">
        <f aca="false">B9*Premissas!$C$7*Premissas!$B$27</f>
        <v>6334.8276</v>
      </c>
      <c r="E9" s="29" t="n">
        <f aca="false">C9*Premissas!$C$8*Premissas!$B$27</f>
        <v>12000</v>
      </c>
      <c r="F9" s="29" t="n">
        <f aca="false">D9+E9</f>
        <v>18334.8276</v>
      </c>
      <c r="G9" s="29" t="n">
        <f aca="false">F9*Premissas!$C$14</f>
        <v>1100.089656</v>
      </c>
      <c r="H9" s="29" t="n">
        <f aca="false">F9*Premissas!$C$13</f>
        <v>6417.18966</v>
      </c>
      <c r="I9" s="29" t="n">
        <f aca="false">F9-G9-H9</f>
        <v>10817.548284</v>
      </c>
      <c r="J9" s="29" t="n">
        <f aca="false">Premissas!$C$15+Premissas!$C$16</f>
        <v>10000</v>
      </c>
      <c r="K9" s="29" t="n">
        <f aca="false">I9-J9</f>
        <v>817.548284</v>
      </c>
      <c r="L9" s="29" t="n">
        <f aca="false">K9</f>
        <v>817.548284</v>
      </c>
      <c r="M9" s="29" t="n">
        <f aca="false">M8+L9</f>
        <v>-45087.394516</v>
      </c>
      <c r="N9" s="27" t="n">
        <f aca="false">IF(M9&gt;=0,1,0)</f>
        <v>0</v>
      </c>
    </row>
    <row r="10" customFormat="false" ht="15" hidden="false" customHeight="false" outlineLevel="0" collapsed="false">
      <c r="A10" s="27" t="n">
        <f aca="false">A9+1</f>
        <v>5</v>
      </c>
      <c r="B10" s="28" t="n">
        <f aca="false">MIN(Premissas!$C$11,B9*(1-Premissas!$C$12)+IF(A10=1,Premissas!$C$9,Premissas!$C$10*Premissas!$B$26))</f>
        <v>6.62065231</v>
      </c>
      <c r="C10" s="28" t="n">
        <f aca="false">MAX(0,B10-B9*(1-Premissas!$C$12))</f>
        <v>1.5</v>
      </c>
      <c r="D10" s="29" t="n">
        <f aca="false">B10*Premissas!$C$7*Premissas!$B$27</f>
        <v>7944.782772</v>
      </c>
      <c r="E10" s="29" t="n">
        <f aca="false">C10*Premissas!$C$8*Premissas!$B$27</f>
        <v>12000</v>
      </c>
      <c r="F10" s="29" t="n">
        <f aca="false">D10+E10</f>
        <v>19944.782772</v>
      </c>
      <c r="G10" s="29" t="n">
        <f aca="false">F10*Premissas!$C$14</f>
        <v>1196.68696632</v>
      </c>
      <c r="H10" s="29" t="n">
        <f aca="false">F10*Premissas!$C$13</f>
        <v>6980.6739702</v>
      </c>
      <c r="I10" s="29" t="n">
        <f aca="false">F10-G10-H10</f>
        <v>11767.42183548</v>
      </c>
      <c r="J10" s="29" t="n">
        <f aca="false">Premissas!$C$15+Premissas!$C$16</f>
        <v>10000</v>
      </c>
      <c r="K10" s="29" t="n">
        <f aca="false">I10-J10</f>
        <v>1767.42183548</v>
      </c>
      <c r="L10" s="29" t="n">
        <f aca="false">K10</f>
        <v>1767.42183548</v>
      </c>
      <c r="M10" s="29" t="n">
        <f aca="false">M9+L10</f>
        <v>-43319.97268052</v>
      </c>
      <c r="N10" s="27" t="n">
        <f aca="false">IF(M10&gt;=0,1,0)</f>
        <v>0</v>
      </c>
    </row>
    <row r="11" customFormat="false" ht="15" hidden="false" customHeight="false" outlineLevel="0" collapsed="false">
      <c r="A11" s="27" t="n">
        <f aca="false">A10+1</f>
        <v>6</v>
      </c>
      <c r="B11" s="28" t="n">
        <f aca="false">MIN(Premissas!$C$11,B10*(1-Premissas!$C$12)+IF(A11=1,Premissas!$C$9,Premissas!$C$10*Premissas!$B$26))</f>
        <v>7.9220327407</v>
      </c>
      <c r="C11" s="28" t="n">
        <f aca="false">MAX(0,B11-B10*(1-Premissas!$C$12))</f>
        <v>1.5</v>
      </c>
      <c r="D11" s="29" t="n">
        <f aca="false">B11*Premissas!$C$7*Premissas!$B$27</f>
        <v>9506.43928884</v>
      </c>
      <c r="E11" s="29" t="n">
        <f aca="false">C11*Premissas!$C$8*Premissas!$B$27</f>
        <v>12000</v>
      </c>
      <c r="F11" s="29" t="n">
        <f aca="false">D11+E11</f>
        <v>21506.43928884</v>
      </c>
      <c r="G11" s="29" t="n">
        <f aca="false">F11*Premissas!$C$14</f>
        <v>1290.3863573304</v>
      </c>
      <c r="H11" s="29" t="n">
        <f aca="false">F11*Premissas!$C$13</f>
        <v>7527.253751094</v>
      </c>
      <c r="I11" s="29" t="n">
        <f aca="false">F11-G11-H11</f>
        <v>12688.7991804156</v>
      </c>
      <c r="J11" s="29" t="n">
        <f aca="false">Premissas!$C$15+Premissas!$C$16</f>
        <v>10000</v>
      </c>
      <c r="K11" s="29" t="n">
        <f aca="false">I11-J11</f>
        <v>2688.7991804156</v>
      </c>
      <c r="L11" s="29" t="n">
        <f aca="false">K11</f>
        <v>2688.7991804156</v>
      </c>
      <c r="M11" s="29" t="n">
        <f aca="false">M10+L11</f>
        <v>-40631.1735001044</v>
      </c>
      <c r="N11" s="27" t="n">
        <f aca="false">IF(M11&gt;=0,1,0)</f>
        <v>0</v>
      </c>
    </row>
    <row r="12" customFormat="false" ht="15" hidden="false" customHeight="false" outlineLevel="0" collapsed="false">
      <c r="A12" s="27" t="n">
        <f aca="false">A11+1</f>
        <v>7</v>
      </c>
      <c r="B12" s="28" t="n">
        <f aca="false">MIN(Premissas!$C$11,B11*(1-Premissas!$C$12)+IF(A12=1,Premissas!$C$9,Premissas!$C$10*Premissas!$B$26))</f>
        <v>9.184371758479</v>
      </c>
      <c r="C12" s="28" t="n">
        <f aca="false">MAX(0,B12-B11*(1-Premissas!$C$12))</f>
        <v>1.5</v>
      </c>
      <c r="D12" s="29" t="n">
        <f aca="false">B12*Premissas!$C$7*Premissas!$B$27</f>
        <v>11021.2461101748</v>
      </c>
      <c r="E12" s="29" t="n">
        <f aca="false">C12*Premissas!$C$8*Premissas!$B$27</f>
        <v>12000</v>
      </c>
      <c r="F12" s="29" t="n">
        <f aca="false">D12+E12</f>
        <v>23021.2461101748</v>
      </c>
      <c r="G12" s="29" t="n">
        <f aca="false">F12*Premissas!$C$14</f>
        <v>1381.27476661049</v>
      </c>
      <c r="H12" s="29" t="n">
        <f aca="false">F12*Premissas!$C$13</f>
        <v>8057.43613856118</v>
      </c>
      <c r="I12" s="29" t="n">
        <f aca="false">F12-G12-H12</f>
        <v>13582.5352050031</v>
      </c>
      <c r="J12" s="29" t="n">
        <f aca="false">Premissas!$C$15+Premissas!$C$16</f>
        <v>10000</v>
      </c>
      <c r="K12" s="29" t="n">
        <f aca="false">I12-J12</f>
        <v>3582.53520500313</v>
      </c>
      <c r="L12" s="29" t="n">
        <f aca="false">K12</f>
        <v>3582.53520500313</v>
      </c>
      <c r="M12" s="29" t="n">
        <f aca="false">M11+L12</f>
        <v>-37048.6382951013</v>
      </c>
      <c r="N12" s="27" t="n">
        <f aca="false">IF(M12&gt;=0,1,0)</f>
        <v>0</v>
      </c>
    </row>
    <row r="13" customFormat="false" ht="15" hidden="false" customHeight="false" outlineLevel="0" collapsed="false">
      <c r="A13" s="27" t="n">
        <f aca="false">A12+1</f>
        <v>8</v>
      </c>
      <c r="B13" s="28" t="n">
        <f aca="false">MIN(Premissas!$C$11,B12*(1-Premissas!$C$12)+IF(A13=1,Premissas!$C$9,Premissas!$C$10*Premissas!$B$26))</f>
        <v>10.4088406057246</v>
      </c>
      <c r="C13" s="28" t="n">
        <f aca="false">MAX(0,B13-B12*(1-Premissas!$C$12))</f>
        <v>1.5</v>
      </c>
      <c r="D13" s="29" t="n">
        <f aca="false">B13*Premissas!$C$7*Premissas!$B$27</f>
        <v>12490.6087268696</v>
      </c>
      <c r="E13" s="29" t="n">
        <f aca="false">C13*Premissas!$C$8*Premissas!$B$27</f>
        <v>12000</v>
      </c>
      <c r="F13" s="29" t="n">
        <f aca="false">D13+E13</f>
        <v>24490.6087268696</v>
      </c>
      <c r="G13" s="29" t="n">
        <f aca="false">F13*Premissas!$C$14</f>
        <v>1469.43652361217</v>
      </c>
      <c r="H13" s="29" t="n">
        <f aca="false">F13*Premissas!$C$13</f>
        <v>8571.71305440435</v>
      </c>
      <c r="I13" s="29" t="n">
        <f aca="false">F13-G13-H13</f>
        <v>14449.459148853</v>
      </c>
      <c r="J13" s="29" t="n">
        <f aca="false">Premissas!$C$15+Premissas!$C$16</f>
        <v>10000</v>
      </c>
      <c r="K13" s="29" t="n">
        <f aca="false">I13-J13</f>
        <v>4449.45914885304</v>
      </c>
      <c r="L13" s="29" t="n">
        <f aca="false">K13</f>
        <v>4449.45914885304</v>
      </c>
      <c r="M13" s="29" t="n">
        <f aca="false">M12+L13</f>
        <v>-32599.1791462482</v>
      </c>
      <c r="N13" s="27" t="n">
        <f aca="false">IF(M13&gt;=0,1,0)</f>
        <v>0</v>
      </c>
    </row>
    <row r="14" customFormat="false" ht="15" hidden="false" customHeight="false" outlineLevel="0" collapsed="false">
      <c r="A14" s="27" t="n">
        <f aca="false">A13+1</f>
        <v>9</v>
      </c>
      <c r="B14" s="28" t="n">
        <f aca="false">MIN(Premissas!$C$11,B13*(1-Premissas!$C$12)+IF(A14=1,Premissas!$C$9,Premissas!$C$10*Premissas!$B$26))</f>
        <v>11.5965753875529</v>
      </c>
      <c r="C14" s="28" t="n">
        <f aca="false">MAX(0,B14-B13*(1-Premissas!$C$12))</f>
        <v>1.5</v>
      </c>
      <c r="D14" s="29" t="n">
        <f aca="false">B14*Premissas!$C$7*Premissas!$B$27</f>
        <v>13915.8904650635</v>
      </c>
      <c r="E14" s="29" t="n">
        <f aca="false">C14*Premissas!$C$8*Premissas!$B$27</f>
        <v>12000</v>
      </c>
      <c r="F14" s="29" t="n">
        <f aca="false">D14+E14</f>
        <v>25915.8904650635</v>
      </c>
      <c r="G14" s="29" t="n">
        <f aca="false">F14*Premissas!$C$14</f>
        <v>1554.95342790381</v>
      </c>
      <c r="H14" s="29" t="n">
        <f aca="false">F14*Premissas!$C$13</f>
        <v>9070.56166277221</v>
      </c>
      <c r="I14" s="29" t="n">
        <f aca="false">F14-G14-H14</f>
        <v>15290.3753743874</v>
      </c>
      <c r="J14" s="29" t="n">
        <f aca="false">Premissas!$C$15+Premissas!$C$16</f>
        <v>10000</v>
      </c>
      <c r="K14" s="29" t="n">
        <f aca="false">I14-J14</f>
        <v>5290.37537438745</v>
      </c>
      <c r="L14" s="29" t="n">
        <f aca="false">K14</f>
        <v>5290.37537438745</v>
      </c>
      <c r="M14" s="29" t="n">
        <f aca="false">M13+L14</f>
        <v>-27308.8037718608</v>
      </c>
      <c r="N14" s="27" t="n">
        <f aca="false">IF(M14&gt;=0,1,0)</f>
        <v>0</v>
      </c>
    </row>
    <row r="15" customFormat="false" ht="15" hidden="false" customHeight="false" outlineLevel="0" collapsed="false">
      <c r="A15" s="27" t="n">
        <f aca="false">A14+1</f>
        <v>10</v>
      </c>
      <c r="B15" s="28" t="n">
        <f aca="false">MIN(Premissas!$C$11,B14*(1-Premissas!$C$12)+IF(A15=1,Premissas!$C$9,Premissas!$C$10*Premissas!$B$26))</f>
        <v>12.7486781259263</v>
      </c>
      <c r="C15" s="28" t="n">
        <f aca="false">MAX(0,B15-B14*(1-Premissas!$C$12))</f>
        <v>1.5</v>
      </c>
      <c r="D15" s="29" t="n">
        <f aca="false">B15*Premissas!$C$7*Premissas!$B$27</f>
        <v>15298.4137511116</v>
      </c>
      <c r="E15" s="29" t="n">
        <f aca="false">C15*Premissas!$C$8*Premissas!$B$27</f>
        <v>12000</v>
      </c>
      <c r="F15" s="29" t="n">
        <f aca="false">D15+E15</f>
        <v>27298.4137511116</v>
      </c>
      <c r="G15" s="29" t="n">
        <f aca="false">F15*Premissas!$C$14</f>
        <v>1637.90482506669</v>
      </c>
      <c r="H15" s="29" t="n">
        <f aca="false">F15*Premissas!$C$13</f>
        <v>9554.44481288905</v>
      </c>
      <c r="I15" s="29" t="n">
        <f aca="false">F15-G15-H15</f>
        <v>16106.0641131558</v>
      </c>
      <c r="J15" s="29" t="n">
        <f aca="false">Premissas!$C$15+Premissas!$C$16</f>
        <v>10000</v>
      </c>
      <c r="K15" s="29" t="n">
        <f aca="false">I15-J15</f>
        <v>6106.06411315582</v>
      </c>
      <c r="L15" s="29" t="n">
        <f aca="false">K15</f>
        <v>6106.06411315582</v>
      </c>
      <c r="M15" s="29" t="n">
        <f aca="false">M14+L15</f>
        <v>-21202.739658705</v>
      </c>
      <c r="N15" s="27" t="n">
        <f aca="false">IF(M15&gt;=0,1,0)</f>
        <v>0</v>
      </c>
    </row>
    <row r="16" customFormat="false" ht="15" hidden="false" customHeight="false" outlineLevel="0" collapsed="false">
      <c r="A16" s="27" t="n">
        <f aca="false">A15+1</f>
        <v>11</v>
      </c>
      <c r="B16" s="28" t="n">
        <f aca="false">MIN(Premissas!$C$11,B15*(1-Premissas!$C$12)+IF(A16=1,Premissas!$C$9,Premissas!$C$10*Premissas!$B$26))</f>
        <v>13.8662177821485</v>
      </c>
      <c r="C16" s="28" t="n">
        <f aca="false">MAX(0,B16-B15*(1-Premissas!$C$12))</f>
        <v>1.5</v>
      </c>
      <c r="D16" s="29" t="n">
        <f aca="false">B16*Premissas!$C$7*Premissas!$B$27</f>
        <v>16639.4613385782</v>
      </c>
      <c r="E16" s="29" t="n">
        <f aca="false">C16*Premissas!$C$8*Premissas!$B$27</f>
        <v>12000</v>
      </c>
      <c r="F16" s="29" t="n">
        <f aca="false">D16+E16</f>
        <v>28639.4613385782</v>
      </c>
      <c r="G16" s="29" t="n">
        <f aca="false">F16*Premissas!$C$14</f>
        <v>1718.36768031469</v>
      </c>
      <c r="H16" s="29" t="n">
        <f aca="false">F16*Premissas!$C$13</f>
        <v>10023.8114685024</v>
      </c>
      <c r="I16" s="29" t="n">
        <f aca="false">F16-G16-H16</f>
        <v>16897.2821897612</v>
      </c>
      <c r="J16" s="29" t="n">
        <f aca="false">Premissas!$C$15+Premissas!$C$16</f>
        <v>10000</v>
      </c>
      <c r="K16" s="29" t="n">
        <f aca="false">I16-J16</f>
        <v>6897.28218976115</v>
      </c>
      <c r="L16" s="29" t="n">
        <f aca="false">K16</f>
        <v>6897.28218976115</v>
      </c>
      <c r="M16" s="29" t="n">
        <f aca="false">M15+L16</f>
        <v>-14305.4574689438</v>
      </c>
      <c r="N16" s="27" t="n">
        <f aca="false">IF(M16&gt;=0,1,0)</f>
        <v>0</v>
      </c>
    </row>
    <row r="17" customFormat="false" ht="15" hidden="false" customHeight="false" outlineLevel="0" collapsed="false">
      <c r="A17" s="31" t="n">
        <f aca="false">A16+1</f>
        <v>12</v>
      </c>
      <c r="B17" s="32" t="n">
        <f aca="false">MIN(Premissas!$C$11,B16*(1-Premissas!$C$12)+IF(A17=1,Premissas!$C$9,Premissas!$C$10*Premissas!$B$26))</f>
        <v>14.9502312486841</v>
      </c>
      <c r="C17" s="32" t="n">
        <f aca="false">MAX(0,B17-B16*(1-Premissas!$C$12))</f>
        <v>1.5</v>
      </c>
      <c r="D17" s="33" t="n">
        <f aca="false">B17*Premissas!$C$7*Premissas!$B$27</f>
        <v>17940.2774984209</v>
      </c>
      <c r="E17" s="33" t="n">
        <f aca="false">C17*Premissas!$C$8*Premissas!$B$27</f>
        <v>12000</v>
      </c>
      <c r="F17" s="33" t="n">
        <f aca="false">D17+E17</f>
        <v>29940.2774984209</v>
      </c>
      <c r="G17" s="33" t="n">
        <f aca="false">F17*Premissas!$C$14</f>
        <v>1796.41664990525</v>
      </c>
      <c r="H17" s="33" t="n">
        <f aca="false">F17*Premissas!$C$13</f>
        <v>10479.0971244473</v>
      </c>
      <c r="I17" s="33" t="n">
        <f aca="false">F17-G17-H17</f>
        <v>17664.7637240683</v>
      </c>
      <c r="J17" s="33" t="n">
        <f aca="false">Premissas!$C$15+Premissas!$C$16</f>
        <v>10000</v>
      </c>
      <c r="K17" s="33" t="n">
        <f aca="false">I17-J17</f>
        <v>7664.76372406831</v>
      </c>
      <c r="L17" s="33" t="n">
        <f aca="false">K17</f>
        <v>7664.76372406831</v>
      </c>
      <c r="M17" s="33" t="n">
        <f aca="false">M16+L17</f>
        <v>-6640.69374487549</v>
      </c>
      <c r="N17" s="31" t="n">
        <f aca="false">IF(M17&gt;=0,1,0)</f>
        <v>0</v>
      </c>
    </row>
    <row r="18" customFormat="false" ht="15" hidden="false" customHeight="false" outlineLevel="0" collapsed="false">
      <c r="A18" s="27" t="n">
        <f aca="false">A17+1</f>
        <v>13</v>
      </c>
      <c r="B18" s="28" t="n">
        <f aca="false">MIN(Premissas!$C$11,B17*(1-Premissas!$C$12)+IF(A18=1,Premissas!$C$9,Premissas!$C$10*Premissas!$B$26))</f>
        <v>16.0017243112235</v>
      </c>
      <c r="C18" s="28" t="n">
        <f aca="false">MAX(0,B18-B17*(1-Premissas!$C$12))</f>
        <v>1.5</v>
      </c>
      <c r="D18" s="29" t="n">
        <f aca="false">B18*Premissas!$C$7*Premissas!$B$27</f>
        <v>19202.0691734682</v>
      </c>
      <c r="E18" s="29" t="n">
        <f aca="false">C18*Premissas!$C$8*Premissas!$B$27</f>
        <v>12000</v>
      </c>
      <c r="F18" s="29" t="n">
        <f aca="false">D18+E18</f>
        <v>31202.0691734682</v>
      </c>
      <c r="G18" s="29" t="n">
        <f aca="false">F18*Premissas!$C$14</f>
        <v>1872.12415040809</v>
      </c>
      <c r="H18" s="29" t="n">
        <f aca="false">F18*Premissas!$C$13</f>
        <v>10920.7242107139</v>
      </c>
      <c r="I18" s="29" t="n">
        <f aca="false">F18-G18-H18</f>
        <v>18409.2208123463</v>
      </c>
      <c r="J18" s="29" t="n">
        <f aca="false">Premissas!$C$15+Premissas!$C$16</f>
        <v>10000</v>
      </c>
      <c r="K18" s="29" t="n">
        <f aca="false">I18-J18</f>
        <v>8409.22081234627</v>
      </c>
      <c r="L18" s="29" t="n">
        <f aca="false">K18</f>
        <v>8409.22081234627</v>
      </c>
      <c r="M18" s="29" t="n">
        <f aca="false">M17+L18</f>
        <v>1768.52706747077</v>
      </c>
      <c r="N18" s="27" t="n">
        <f aca="false">IF(M18&gt;=0,1,0)</f>
        <v>1</v>
      </c>
    </row>
    <row r="19" customFormat="false" ht="15" hidden="false" customHeight="false" outlineLevel="0" collapsed="false">
      <c r="A19" s="27" t="n">
        <f aca="false">A18+1</f>
        <v>14</v>
      </c>
      <c r="B19" s="28" t="n">
        <f aca="false">MIN(Premissas!$C$11,B18*(1-Premissas!$C$12)+IF(A19=1,Premissas!$C$9,Premissas!$C$10*Premissas!$B$26))</f>
        <v>17.0216725818868</v>
      </c>
      <c r="C19" s="28" t="n">
        <f aca="false">MAX(0,B19-B18*(1-Premissas!$C$12))</f>
        <v>1.5</v>
      </c>
      <c r="D19" s="29" t="n">
        <f aca="false">B19*Premissas!$C$7*Premissas!$B$27</f>
        <v>20426.0070982642</v>
      </c>
      <c r="E19" s="29" t="n">
        <f aca="false">C19*Premissas!$C$8*Premissas!$B$27</f>
        <v>12000</v>
      </c>
      <c r="F19" s="29" t="n">
        <f aca="false">D19+E19</f>
        <v>32426.0070982642</v>
      </c>
      <c r="G19" s="29" t="n">
        <f aca="false">F19*Premissas!$C$14</f>
        <v>1945.56042589585</v>
      </c>
      <c r="H19" s="29" t="n">
        <f aca="false">F19*Premissas!$C$13</f>
        <v>11349.1024843925</v>
      </c>
      <c r="I19" s="29" t="n">
        <f aca="false">F19-G19-H19</f>
        <v>19131.3441879759</v>
      </c>
      <c r="J19" s="29" t="n">
        <f aca="false">Premissas!$C$15+Premissas!$C$16</f>
        <v>10000</v>
      </c>
      <c r="K19" s="29" t="n">
        <f aca="false">I19-J19</f>
        <v>9131.34418797589</v>
      </c>
      <c r="L19" s="29" t="n">
        <f aca="false">K19</f>
        <v>9131.34418797589</v>
      </c>
      <c r="M19" s="29" t="n">
        <f aca="false">M18+L19</f>
        <v>10899.8712554467</v>
      </c>
      <c r="N19" s="27" t="n">
        <f aca="false">IF(M19&gt;=0,1,0)</f>
        <v>1</v>
      </c>
    </row>
    <row r="20" customFormat="false" ht="15" hidden="false" customHeight="false" outlineLevel="0" collapsed="false">
      <c r="A20" s="27" t="n">
        <f aca="false">A19+1</f>
        <v>15</v>
      </c>
      <c r="B20" s="28" t="n">
        <f aca="false">MIN(Premissas!$C$11,B19*(1-Premissas!$C$12)+IF(A20=1,Premissas!$C$9,Premissas!$C$10*Premissas!$B$26))</f>
        <v>18.0110224044302</v>
      </c>
      <c r="C20" s="28" t="n">
        <f aca="false">MAX(0,B20-B19*(1-Premissas!$C$12))</f>
        <v>1.5</v>
      </c>
      <c r="D20" s="29" t="n">
        <f aca="false">B20*Premissas!$C$7*Premissas!$B$27</f>
        <v>21613.2268853163</v>
      </c>
      <c r="E20" s="29" t="n">
        <f aca="false">C20*Premissas!$C$8*Premissas!$B$27</f>
        <v>12000</v>
      </c>
      <c r="F20" s="29" t="n">
        <f aca="false">D20+E20</f>
        <v>33613.2268853163</v>
      </c>
      <c r="G20" s="29" t="n">
        <f aca="false">F20*Premissas!$C$14</f>
        <v>2016.79361311898</v>
      </c>
      <c r="H20" s="29" t="n">
        <f aca="false">F20*Premissas!$C$13</f>
        <v>11764.6294098607</v>
      </c>
      <c r="I20" s="29" t="n">
        <f aca="false">F20-G20-H20</f>
        <v>19831.8038623366</v>
      </c>
      <c r="J20" s="29" t="n">
        <f aca="false">Premissas!$C$15+Premissas!$C$16</f>
        <v>10000</v>
      </c>
      <c r="K20" s="29" t="n">
        <f aca="false">I20-J20</f>
        <v>9831.8038623366</v>
      </c>
      <c r="L20" s="29" t="n">
        <f aca="false">K20</f>
        <v>9831.8038623366</v>
      </c>
      <c r="M20" s="29" t="n">
        <f aca="false">M19+L20</f>
        <v>20731.6751177833</v>
      </c>
      <c r="N20" s="27" t="n">
        <f aca="false">IF(M20&gt;=0,1,0)</f>
        <v>1</v>
      </c>
    </row>
    <row r="21" customFormat="false" ht="15" hidden="false" customHeight="false" outlineLevel="0" collapsed="false">
      <c r="A21" s="27" t="n">
        <f aca="false">A20+1</f>
        <v>16</v>
      </c>
      <c r="B21" s="28" t="n">
        <f aca="false">MIN(Premissas!$C$11,B20*(1-Premissas!$C$12)+IF(A21=1,Premissas!$C$9,Premissas!$C$10*Premissas!$B$26))</f>
        <v>18.9706917322973</v>
      </c>
      <c r="C21" s="28" t="n">
        <f aca="false">MAX(0,B21-B20*(1-Premissas!$C$12))</f>
        <v>1.5</v>
      </c>
      <c r="D21" s="29" t="n">
        <f aca="false">B21*Premissas!$C$7*Premissas!$B$27</f>
        <v>22764.8300787568</v>
      </c>
      <c r="E21" s="29" t="n">
        <f aca="false">C21*Premissas!$C$8*Premissas!$B$27</f>
        <v>12000</v>
      </c>
      <c r="F21" s="29" t="n">
        <f aca="false">D21+E21</f>
        <v>34764.8300787568</v>
      </c>
      <c r="G21" s="29" t="n">
        <f aca="false">F21*Premissas!$C$14</f>
        <v>2085.88980472541</v>
      </c>
      <c r="H21" s="29" t="n">
        <f aca="false">F21*Premissas!$C$13</f>
        <v>12167.6905275649</v>
      </c>
      <c r="I21" s="29" t="n">
        <f aca="false">F21-G21-H21</f>
        <v>20511.2497464665</v>
      </c>
      <c r="J21" s="29" t="n">
        <f aca="false">Premissas!$C$15+Premissas!$C$16</f>
        <v>10000</v>
      </c>
      <c r="K21" s="29" t="n">
        <f aca="false">I21-J21</f>
        <v>10511.2497464665</v>
      </c>
      <c r="L21" s="29" t="n">
        <f aca="false">K21</f>
        <v>10511.2497464665</v>
      </c>
      <c r="M21" s="29" t="n">
        <f aca="false">M20+L21</f>
        <v>31242.9248642498</v>
      </c>
      <c r="N21" s="27" t="n">
        <f aca="false">IF(M21&gt;=0,1,0)</f>
        <v>1</v>
      </c>
    </row>
    <row r="22" customFormat="false" ht="15" hidden="false" customHeight="false" outlineLevel="0" collapsed="false">
      <c r="A22" s="27" t="n">
        <f aca="false">A21+1</f>
        <v>17</v>
      </c>
      <c r="B22" s="28" t="n">
        <f aca="false">MIN(Premissas!$C$11,B21*(1-Premissas!$C$12)+IF(A22=1,Premissas!$C$9,Premissas!$C$10*Premissas!$B$26))</f>
        <v>19.9015709803284</v>
      </c>
      <c r="C22" s="28" t="n">
        <f aca="false">MAX(0,B22-B21*(1-Premissas!$C$12))</f>
        <v>1.5</v>
      </c>
      <c r="D22" s="29" t="n">
        <f aca="false">B22*Premissas!$C$7*Premissas!$B$27</f>
        <v>23881.8851763941</v>
      </c>
      <c r="E22" s="29" t="n">
        <f aca="false">C22*Premissas!$C$8*Premissas!$B$27</f>
        <v>12000</v>
      </c>
      <c r="F22" s="29" t="n">
        <f aca="false">D22+E22</f>
        <v>35881.8851763941</v>
      </c>
      <c r="G22" s="29" t="n">
        <f aca="false">F22*Premissas!$C$14</f>
        <v>2152.91311058364</v>
      </c>
      <c r="H22" s="29" t="n">
        <f aca="false">F22*Premissas!$C$13</f>
        <v>12558.6598117379</v>
      </c>
      <c r="I22" s="29" t="n">
        <f aca="false">F22-G22-H22</f>
        <v>21170.3122540725</v>
      </c>
      <c r="J22" s="29" t="n">
        <f aca="false">Premissas!$C$15+Premissas!$C$16</f>
        <v>10000</v>
      </c>
      <c r="K22" s="29" t="n">
        <f aca="false">I22-J22</f>
        <v>11170.3122540725</v>
      </c>
      <c r="L22" s="29" t="n">
        <f aca="false">K22</f>
        <v>11170.3122540725</v>
      </c>
      <c r="M22" s="29" t="n">
        <f aca="false">M21+L22</f>
        <v>42413.2371183223</v>
      </c>
      <c r="N22" s="27" t="n">
        <f aca="false">IF(M22&gt;=0,1,0)</f>
        <v>1</v>
      </c>
    </row>
    <row r="23" customFormat="false" ht="15" hidden="false" customHeight="false" outlineLevel="0" collapsed="false">
      <c r="A23" s="27" t="n">
        <f aca="false">A22+1</f>
        <v>18</v>
      </c>
      <c r="B23" s="28" t="n">
        <f aca="false">MIN(Premissas!$C$11,B22*(1-Premissas!$C$12)+IF(A23=1,Premissas!$C$9,Premissas!$C$10*Premissas!$B$26))</f>
        <v>20.8045238509186</v>
      </c>
      <c r="C23" s="28" t="n">
        <f aca="false">MAX(0,B23-B22*(1-Premissas!$C$12))</f>
        <v>1.5</v>
      </c>
      <c r="D23" s="29" t="n">
        <f aca="false">B23*Premissas!$C$7*Premissas!$B$27</f>
        <v>24965.4286211023</v>
      </c>
      <c r="E23" s="29" t="n">
        <f aca="false">C23*Premissas!$C$8*Premissas!$B$27</f>
        <v>12000</v>
      </c>
      <c r="F23" s="29" t="n">
        <f aca="false">D23+E23</f>
        <v>36965.4286211023</v>
      </c>
      <c r="G23" s="29" t="n">
        <f aca="false">F23*Premissas!$C$14</f>
        <v>2217.92571726614</v>
      </c>
      <c r="H23" s="29" t="n">
        <f aca="false">F23*Premissas!$C$13</f>
        <v>12937.9000173858</v>
      </c>
      <c r="I23" s="29" t="n">
        <f aca="false">F23-G23-H23</f>
        <v>21809.6028864503</v>
      </c>
      <c r="J23" s="29" t="n">
        <f aca="false">Premissas!$C$15+Premissas!$C$16</f>
        <v>10000</v>
      </c>
      <c r="K23" s="29" t="n">
        <f aca="false">I23-J23</f>
        <v>11809.6028864503</v>
      </c>
      <c r="L23" s="29" t="n">
        <f aca="false">K23</f>
        <v>11809.6028864503</v>
      </c>
      <c r="M23" s="29" t="n">
        <f aca="false">M22+L23</f>
        <v>54222.8400047726</v>
      </c>
      <c r="N23" s="27" t="n">
        <f aca="false">IF(M23&gt;=0,1,0)</f>
        <v>1</v>
      </c>
    </row>
    <row r="24" customFormat="false" ht="15" hidden="false" customHeight="false" outlineLevel="0" collapsed="false">
      <c r="A24" s="27" t="n">
        <f aca="false">A23+1</f>
        <v>19</v>
      </c>
      <c r="B24" s="28" t="n">
        <f aca="false">MIN(Premissas!$C$11,B23*(1-Premissas!$C$12)+IF(A24=1,Premissas!$C$9,Premissas!$C$10*Premissas!$B$26))</f>
        <v>21.680388135391</v>
      </c>
      <c r="C24" s="28" t="n">
        <f aca="false">MAX(0,B24-B23*(1-Premissas!$C$12))</f>
        <v>1.5</v>
      </c>
      <c r="D24" s="29" t="n">
        <f aca="false">B24*Premissas!$C$7*Premissas!$B$27</f>
        <v>26016.4657624692</v>
      </c>
      <c r="E24" s="29" t="n">
        <f aca="false">C24*Premissas!$C$8*Premissas!$B$27</f>
        <v>12000</v>
      </c>
      <c r="F24" s="29" t="n">
        <f aca="false">D24+E24</f>
        <v>38016.4657624692</v>
      </c>
      <c r="G24" s="29" t="n">
        <f aca="false">F24*Premissas!$C$14</f>
        <v>2280.98794574815</v>
      </c>
      <c r="H24" s="29" t="n">
        <f aca="false">F24*Premissas!$C$13</f>
        <v>13305.7630168642</v>
      </c>
      <c r="I24" s="29" t="n">
        <f aca="false">F24-G24-H24</f>
        <v>22429.7147998568</v>
      </c>
      <c r="J24" s="29" t="n">
        <f aca="false">Premissas!$C$15+Premissas!$C$16</f>
        <v>10000</v>
      </c>
      <c r="K24" s="29" t="n">
        <f aca="false">I24-J24</f>
        <v>12429.7147998568</v>
      </c>
      <c r="L24" s="29" t="n">
        <f aca="false">K24</f>
        <v>12429.7147998568</v>
      </c>
      <c r="M24" s="29" t="n">
        <f aca="false">M23+L24</f>
        <v>66652.5548046294</v>
      </c>
      <c r="N24" s="27" t="n">
        <f aca="false">IF(M24&gt;=0,1,0)</f>
        <v>1</v>
      </c>
    </row>
    <row r="25" customFormat="false" ht="15" hidden="false" customHeight="false" outlineLevel="0" collapsed="false">
      <c r="A25" s="27" t="n">
        <f aca="false">A24+1</f>
        <v>20</v>
      </c>
      <c r="B25" s="28" t="n">
        <f aca="false">MIN(Premissas!$C$11,B24*(1-Premissas!$C$12)+IF(A25=1,Premissas!$C$9,Premissas!$C$10*Premissas!$B$26))</f>
        <v>22.5299764913293</v>
      </c>
      <c r="C25" s="28" t="n">
        <f aca="false">MAX(0,B25-B24*(1-Premissas!$C$12))</f>
        <v>1.5</v>
      </c>
      <c r="D25" s="29" t="n">
        <f aca="false">B25*Premissas!$C$7*Premissas!$B$27</f>
        <v>27035.9717895951</v>
      </c>
      <c r="E25" s="29" t="n">
        <f aca="false">C25*Premissas!$C$8*Premissas!$B$27</f>
        <v>12000</v>
      </c>
      <c r="F25" s="29" t="n">
        <f aca="false">D25+E25</f>
        <v>39035.9717895951</v>
      </c>
      <c r="G25" s="29" t="n">
        <f aca="false">F25*Premissas!$C$14</f>
        <v>2342.15830737571</v>
      </c>
      <c r="H25" s="29" t="n">
        <f aca="false">F25*Premissas!$C$13</f>
        <v>13662.5901263583</v>
      </c>
      <c r="I25" s="29" t="n">
        <f aca="false">F25-G25-H25</f>
        <v>23031.2233558611</v>
      </c>
      <c r="J25" s="29" t="n">
        <f aca="false">Premissas!$C$15+Premissas!$C$16</f>
        <v>10000</v>
      </c>
      <c r="K25" s="29" t="n">
        <f aca="false">I25-J25</f>
        <v>13031.2233558611</v>
      </c>
      <c r="L25" s="29" t="n">
        <f aca="false">K25</f>
        <v>13031.2233558611</v>
      </c>
      <c r="M25" s="29" t="n">
        <f aca="false">M24+L25</f>
        <v>79683.7781604906</v>
      </c>
      <c r="N25" s="27" t="n">
        <f aca="false">IF(M25&gt;=0,1,0)</f>
        <v>1</v>
      </c>
    </row>
    <row r="26" customFormat="false" ht="15" hidden="false" customHeight="false" outlineLevel="0" collapsed="false">
      <c r="A26" s="27" t="n">
        <f aca="false">A25+1</f>
        <v>21</v>
      </c>
      <c r="B26" s="28" t="n">
        <f aca="false">MIN(Premissas!$C$11,B25*(1-Premissas!$C$12)+IF(A26=1,Premissas!$C$9,Premissas!$C$10*Premissas!$B$26))</f>
        <v>23.3540771965894</v>
      </c>
      <c r="C26" s="28" t="n">
        <f aca="false">MAX(0,B26-B25*(1-Premissas!$C$12))</f>
        <v>1.5</v>
      </c>
      <c r="D26" s="29" t="n">
        <f aca="false">B26*Premissas!$C$7*Premissas!$B$27</f>
        <v>28024.8926359073</v>
      </c>
      <c r="E26" s="29" t="n">
        <f aca="false">C26*Premissas!$C$8*Premissas!$B$27</f>
        <v>12000</v>
      </c>
      <c r="F26" s="29" t="n">
        <f aca="false">D26+E26</f>
        <v>40024.8926359073</v>
      </c>
      <c r="G26" s="29" t="n">
        <f aca="false">F26*Premissas!$C$14</f>
        <v>2401.49355815444</v>
      </c>
      <c r="H26" s="29" t="n">
        <f aca="false">F26*Premissas!$C$13</f>
        <v>14008.7124225675</v>
      </c>
      <c r="I26" s="29" t="n">
        <f aca="false">F26-G26-H26</f>
        <v>23614.6866551853</v>
      </c>
      <c r="J26" s="29" t="n">
        <f aca="false">Premissas!$C$15+Premissas!$C$16</f>
        <v>10000</v>
      </c>
      <c r="K26" s="29" t="n">
        <f aca="false">I26-J26</f>
        <v>13614.6866551853</v>
      </c>
      <c r="L26" s="29" t="n">
        <f aca="false">K26</f>
        <v>13614.6866551853</v>
      </c>
      <c r="M26" s="29" t="n">
        <f aca="false">M25+L26</f>
        <v>93298.4648156758</v>
      </c>
      <c r="N26" s="27" t="n">
        <f aca="false">IF(M26&gt;=0,1,0)</f>
        <v>1</v>
      </c>
    </row>
    <row r="27" customFormat="false" ht="15" hidden="false" customHeight="false" outlineLevel="0" collapsed="false">
      <c r="A27" s="27" t="n">
        <f aca="false">A26+1</f>
        <v>22</v>
      </c>
      <c r="B27" s="28" t="n">
        <f aca="false">MIN(Premissas!$C$11,B26*(1-Premissas!$C$12)+IF(A27=1,Premissas!$C$9,Premissas!$C$10*Premissas!$B$26))</f>
        <v>24.1534548806917</v>
      </c>
      <c r="C27" s="28" t="n">
        <f aca="false">MAX(0,B27-B26*(1-Premissas!$C$12))</f>
        <v>1.5</v>
      </c>
      <c r="D27" s="29" t="n">
        <f aca="false">B27*Premissas!$C$7*Premissas!$B$27</f>
        <v>28984.14585683</v>
      </c>
      <c r="E27" s="29" t="n">
        <f aca="false">C27*Premissas!$C$8*Premissas!$B$27</f>
        <v>12000</v>
      </c>
      <c r="F27" s="29" t="n">
        <f aca="false">D27+E27</f>
        <v>40984.14585683</v>
      </c>
      <c r="G27" s="29" t="n">
        <f aca="false">F27*Premissas!$C$14</f>
        <v>2459.0487514098</v>
      </c>
      <c r="H27" s="29" t="n">
        <f aca="false">F27*Premissas!$C$13</f>
        <v>14344.4510498905</v>
      </c>
      <c r="I27" s="29" t="n">
        <f aca="false">F27-G27-H27</f>
        <v>24180.6460555297</v>
      </c>
      <c r="J27" s="29" t="n">
        <f aca="false">Premissas!$C$15+Premissas!$C$16</f>
        <v>10000</v>
      </c>
      <c r="K27" s="29" t="n">
        <f aca="false">I27-J27</f>
        <v>14180.6460555297</v>
      </c>
      <c r="L27" s="29" t="n">
        <f aca="false">K27</f>
        <v>14180.6460555297</v>
      </c>
      <c r="M27" s="29" t="n">
        <f aca="false">M26+L27</f>
        <v>107479.110871206</v>
      </c>
      <c r="N27" s="27" t="n">
        <f aca="false">IF(M27&gt;=0,1,0)</f>
        <v>1</v>
      </c>
    </row>
    <row r="28" customFormat="false" ht="15" hidden="false" customHeight="false" outlineLevel="0" collapsed="false">
      <c r="A28" s="27" t="n">
        <f aca="false">A27+1</f>
        <v>23</v>
      </c>
      <c r="B28" s="28" t="n">
        <f aca="false">MIN(Premissas!$C$11,B27*(1-Premissas!$C$12)+IF(A28=1,Premissas!$C$9,Premissas!$C$10*Premissas!$B$26))</f>
        <v>24.928851234271</v>
      </c>
      <c r="C28" s="28" t="n">
        <f aca="false">MAX(0,B28-B27*(1-Premissas!$C$12))</f>
        <v>1.5</v>
      </c>
      <c r="D28" s="29" t="n">
        <f aca="false">B28*Premissas!$C$7*Premissas!$B$27</f>
        <v>29914.6214811251</v>
      </c>
      <c r="E28" s="29" t="n">
        <f aca="false">C28*Premissas!$C$8*Premissas!$B$27</f>
        <v>12000</v>
      </c>
      <c r="F28" s="29" t="n">
        <f aca="false">D28+E28</f>
        <v>41914.6214811251</v>
      </c>
      <c r="G28" s="29" t="n">
        <f aca="false">F28*Premissas!$C$14</f>
        <v>2514.87728886751</v>
      </c>
      <c r="H28" s="29" t="n">
        <f aca="false">F28*Premissas!$C$13</f>
        <v>14670.1175183938</v>
      </c>
      <c r="I28" s="29" t="n">
        <f aca="false">F28-G28-H28</f>
        <v>24729.6266738638</v>
      </c>
      <c r="J28" s="29" t="n">
        <f aca="false">Premissas!$C$15+Premissas!$C$16</f>
        <v>10000</v>
      </c>
      <c r="K28" s="29" t="n">
        <f aca="false">I28-J28</f>
        <v>14729.6266738638</v>
      </c>
      <c r="L28" s="29" t="n">
        <f aca="false">K28</f>
        <v>14729.6266738638</v>
      </c>
      <c r="M28" s="29" t="n">
        <f aca="false">M27+L28</f>
        <v>122208.737545069</v>
      </c>
      <c r="N28" s="27" t="n">
        <f aca="false">IF(M28&gt;=0,1,0)</f>
        <v>1</v>
      </c>
    </row>
    <row r="29" customFormat="false" ht="15" hidden="false" customHeight="false" outlineLevel="0" collapsed="false">
      <c r="A29" s="31" t="n">
        <f aca="false">A28+1</f>
        <v>24</v>
      </c>
      <c r="B29" s="32" t="n">
        <f aca="false">MIN(Premissas!$C$11,B28*(1-Premissas!$C$12)+IF(A29=1,Premissas!$C$9,Premissas!$C$10*Premissas!$B$26))</f>
        <v>25.6809856972428</v>
      </c>
      <c r="C29" s="32" t="n">
        <f aca="false">MAX(0,B29-B28*(1-Premissas!$C$12))</f>
        <v>1.5</v>
      </c>
      <c r="D29" s="33" t="n">
        <f aca="false">B29*Premissas!$C$7*Premissas!$B$27</f>
        <v>30817.1828366914</v>
      </c>
      <c r="E29" s="33" t="n">
        <f aca="false">C29*Premissas!$C$8*Premissas!$B$27</f>
        <v>12000</v>
      </c>
      <c r="F29" s="33" t="n">
        <f aca="false">D29+E29</f>
        <v>42817.1828366914</v>
      </c>
      <c r="G29" s="33" t="n">
        <f aca="false">F29*Premissas!$C$14</f>
        <v>2569.03097020148</v>
      </c>
      <c r="H29" s="33" t="n">
        <f aca="false">F29*Premissas!$C$13</f>
        <v>14986.013992842</v>
      </c>
      <c r="I29" s="33" t="n">
        <f aca="false">F29-G29-H29</f>
        <v>25262.1378736479</v>
      </c>
      <c r="J29" s="33" t="n">
        <f aca="false">Premissas!$C$15+Premissas!$C$16</f>
        <v>10000</v>
      </c>
      <c r="K29" s="33" t="n">
        <f aca="false">I29-J29</f>
        <v>15262.1378736479</v>
      </c>
      <c r="L29" s="33" t="n">
        <f aca="false">K29</f>
        <v>15262.1378736479</v>
      </c>
      <c r="M29" s="33" t="n">
        <f aca="false">M28+L29</f>
        <v>137470.875418717</v>
      </c>
      <c r="N29" s="31" t="n">
        <f aca="false">IF(M29&gt;=0,1,0)</f>
        <v>1</v>
      </c>
    </row>
    <row r="30" customFormat="false" ht="15" hidden="false" customHeight="false" outlineLevel="0" collapsed="false">
      <c r="A30" s="27" t="n">
        <f aca="false">A29+1</f>
        <v>25</v>
      </c>
      <c r="B30" s="28" t="n">
        <f aca="false">MIN(Premissas!$C$11,B29*(1-Premissas!$C$12)+IF(A30=1,Premissas!$C$9,Premissas!$C$10*Premissas!$B$26))</f>
        <v>26.4105561263255</v>
      </c>
      <c r="C30" s="28" t="n">
        <f aca="false">MAX(0,B30-B29*(1-Premissas!$C$12))</f>
        <v>1.5</v>
      </c>
      <c r="D30" s="29" t="n">
        <f aca="false">B30*Premissas!$C$7*Premissas!$B$27</f>
        <v>31692.6673515906</v>
      </c>
      <c r="E30" s="29" t="n">
        <f aca="false">C30*Premissas!$C$8*Premissas!$B$27</f>
        <v>12000</v>
      </c>
      <c r="F30" s="29" t="n">
        <f aca="false">D30+E30</f>
        <v>43692.6673515906</v>
      </c>
      <c r="G30" s="29" t="n">
        <f aca="false">F30*Premissas!$C$14</f>
        <v>2621.56004109544</v>
      </c>
      <c r="H30" s="29" t="n">
        <f aca="false">F30*Premissas!$C$13</f>
        <v>15292.4335730567</v>
      </c>
      <c r="I30" s="29" t="n">
        <f aca="false">F30-G30-H30</f>
        <v>25778.6737374385</v>
      </c>
      <c r="J30" s="29" t="n">
        <f aca="false">Premissas!$C$15+Premissas!$C$16</f>
        <v>10000</v>
      </c>
      <c r="K30" s="29" t="n">
        <f aca="false">I30-J30</f>
        <v>15778.6737374385</v>
      </c>
      <c r="L30" s="29" t="n">
        <f aca="false">K30</f>
        <v>15778.6737374385</v>
      </c>
      <c r="M30" s="29" t="n">
        <f aca="false">M29+L30</f>
        <v>153249.549156156</v>
      </c>
      <c r="N30" s="27" t="n">
        <f aca="false">IF(M30&gt;=0,1,0)</f>
        <v>1</v>
      </c>
    </row>
    <row r="31" customFormat="false" ht="15" hidden="false" customHeight="false" outlineLevel="0" collapsed="false">
      <c r="A31" s="27" t="n">
        <f aca="false">A30+1</f>
        <v>26</v>
      </c>
      <c r="B31" s="28" t="n">
        <f aca="false">MIN(Premissas!$C$11,B30*(1-Premissas!$C$12)+IF(A31=1,Premissas!$C$9,Premissas!$C$10*Premissas!$B$26))</f>
        <v>27.1182394425358</v>
      </c>
      <c r="C31" s="28" t="n">
        <f aca="false">MAX(0,B31-B30*(1-Premissas!$C$12))</f>
        <v>1.5</v>
      </c>
      <c r="D31" s="29" t="n">
        <f aca="false">B31*Premissas!$C$7*Premissas!$B$27</f>
        <v>32541.8873310429</v>
      </c>
      <c r="E31" s="29" t="n">
        <f aca="false">C31*Premissas!$C$8*Premissas!$B$27</f>
        <v>12000</v>
      </c>
      <c r="F31" s="29" t="n">
        <f aca="false">D31+E31</f>
        <v>44541.8873310429</v>
      </c>
      <c r="G31" s="29" t="n">
        <f aca="false">F31*Premissas!$C$14</f>
        <v>2672.51323986258</v>
      </c>
      <c r="H31" s="29" t="n">
        <f aca="false">F31*Premissas!$C$13</f>
        <v>15589.660565865</v>
      </c>
      <c r="I31" s="29" t="n">
        <f aca="false">F31-G31-H31</f>
        <v>26279.7135253153</v>
      </c>
      <c r="J31" s="29" t="n">
        <f aca="false">Premissas!$C$15+Premissas!$C$16</f>
        <v>10000</v>
      </c>
      <c r="K31" s="29" t="n">
        <f aca="false">I31-J31</f>
        <v>16279.7135253153</v>
      </c>
      <c r="L31" s="29" t="n">
        <f aca="false">K31</f>
        <v>16279.7135253153</v>
      </c>
      <c r="M31" s="29" t="n">
        <f aca="false">M30+L31</f>
        <v>169529.262681471</v>
      </c>
      <c r="N31" s="27" t="n">
        <f aca="false">IF(M31&gt;=0,1,0)</f>
        <v>1</v>
      </c>
    </row>
    <row r="32" customFormat="false" ht="15" hidden="false" customHeight="false" outlineLevel="0" collapsed="false">
      <c r="A32" s="27" t="n">
        <f aca="false">A31+1</f>
        <v>27</v>
      </c>
      <c r="B32" s="28" t="n">
        <f aca="false">MIN(Premissas!$C$11,B31*(1-Premissas!$C$12)+IF(A32=1,Premissas!$C$9,Premissas!$C$10*Premissas!$B$26))</f>
        <v>27.8046922592597</v>
      </c>
      <c r="C32" s="28" t="n">
        <f aca="false">MAX(0,B32-B31*(1-Premissas!$C$12))</f>
        <v>1.5</v>
      </c>
      <c r="D32" s="29" t="n">
        <f aca="false">B32*Premissas!$C$7*Premissas!$B$27</f>
        <v>33365.6307111116</v>
      </c>
      <c r="E32" s="29" t="n">
        <f aca="false">C32*Premissas!$C$8*Premissas!$B$27</f>
        <v>12000</v>
      </c>
      <c r="F32" s="29" t="n">
        <f aca="false">D32+E32</f>
        <v>45365.6307111116</v>
      </c>
      <c r="G32" s="29" t="n">
        <f aca="false">F32*Premissas!$C$14</f>
        <v>2721.9378426667</v>
      </c>
      <c r="H32" s="29" t="n">
        <f aca="false">F32*Premissas!$C$13</f>
        <v>15877.9707488891</v>
      </c>
      <c r="I32" s="29" t="n">
        <f aca="false">F32-G32-H32</f>
        <v>26765.7221195559</v>
      </c>
      <c r="J32" s="29" t="n">
        <f aca="false">Premissas!$C$15+Premissas!$C$16</f>
        <v>10000</v>
      </c>
      <c r="K32" s="29" t="n">
        <f aca="false">I32-J32</f>
        <v>16765.7221195559</v>
      </c>
      <c r="L32" s="29" t="n">
        <f aca="false">K32</f>
        <v>16765.7221195559</v>
      </c>
      <c r="M32" s="29" t="n">
        <f aca="false">M31+L32</f>
        <v>186294.984801027</v>
      </c>
      <c r="N32" s="27" t="n">
        <f aca="false">IF(M32&gt;=0,1,0)</f>
        <v>1</v>
      </c>
    </row>
    <row r="33" customFormat="false" ht="15" hidden="false" customHeight="false" outlineLevel="0" collapsed="false">
      <c r="A33" s="27" t="n">
        <f aca="false">A32+1</f>
        <v>28</v>
      </c>
      <c r="B33" s="28" t="n">
        <f aca="false">MIN(Premissas!$C$11,B32*(1-Premissas!$C$12)+IF(A33=1,Premissas!$C$9,Premissas!$C$10*Premissas!$B$26))</f>
        <v>28.4705514914819</v>
      </c>
      <c r="C33" s="28" t="n">
        <f aca="false">MAX(0,B33-B32*(1-Premissas!$C$12))</f>
        <v>1.5</v>
      </c>
      <c r="D33" s="29" t="n">
        <f aca="false">B33*Premissas!$C$7*Premissas!$B$27</f>
        <v>34164.6617897783</v>
      </c>
      <c r="E33" s="29" t="n">
        <f aca="false">C33*Premissas!$C$8*Premissas!$B$27</f>
        <v>12000</v>
      </c>
      <c r="F33" s="29" t="n">
        <f aca="false">D33+E33</f>
        <v>46164.6617897783</v>
      </c>
      <c r="G33" s="29" t="n">
        <f aca="false">F33*Premissas!$C$14</f>
        <v>2769.8797073867</v>
      </c>
      <c r="H33" s="29" t="n">
        <f aca="false">F33*Premissas!$C$13</f>
        <v>16157.6316264224</v>
      </c>
      <c r="I33" s="29" t="n">
        <f aca="false">F33-G33-H33</f>
        <v>27237.1504559692</v>
      </c>
      <c r="J33" s="29" t="n">
        <f aca="false">Premissas!$C$15+Premissas!$C$16</f>
        <v>10000</v>
      </c>
      <c r="K33" s="29" t="n">
        <f aca="false">I33-J33</f>
        <v>17237.1504559692</v>
      </c>
      <c r="L33" s="29" t="n">
        <f aca="false">K33</f>
        <v>17237.1504559692</v>
      </c>
      <c r="M33" s="29" t="n">
        <f aca="false">M32+L33</f>
        <v>203532.135256996</v>
      </c>
      <c r="N33" s="27" t="n">
        <f aca="false">IF(M33&gt;=0,1,0)</f>
        <v>1</v>
      </c>
    </row>
    <row r="34" customFormat="false" ht="15" hidden="false" customHeight="false" outlineLevel="0" collapsed="false">
      <c r="A34" s="27" t="n">
        <f aca="false">A33+1</f>
        <v>29</v>
      </c>
      <c r="B34" s="28" t="n">
        <f aca="false">MIN(Premissas!$C$11,B33*(1-Premissas!$C$12)+IF(A34=1,Premissas!$C$9,Premissas!$C$10*Premissas!$B$26))</f>
        <v>29.1164349467374</v>
      </c>
      <c r="C34" s="28" t="n">
        <f aca="false">MAX(0,B34-B33*(1-Premissas!$C$12))</f>
        <v>1.5</v>
      </c>
      <c r="D34" s="29" t="n">
        <f aca="false">B34*Premissas!$C$7*Premissas!$B$27</f>
        <v>34939.7219360849</v>
      </c>
      <c r="E34" s="29" t="n">
        <f aca="false">C34*Premissas!$C$8*Premissas!$B$27</f>
        <v>12000</v>
      </c>
      <c r="F34" s="29" t="n">
        <f aca="false">D34+E34</f>
        <v>46939.7219360849</v>
      </c>
      <c r="G34" s="29" t="n">
        <f aca="false">F34*Premissas!$C$14</f>
        <v>2816.3833161651</v>
      </c>
      <c r="H34" s="29" t="n">
        <f aca="false">F34*Premissas!$C$13</f>
        <v>16428.9026776297</v>
      </c>
      <c r="I34" s="29" t="n">
        <f aca="false">F34-G34-H34</f>
        <v>27694.4359422901</v>
      </c>
      <c r="J34" s="29" t="n">
        <f aca="false">Premissas!$C$15+Premissas!$C$16</f>
        <v>10000</v>
      </c>
      <c r="K34" s="29" t="n">
        <f aca="false">I34-J34</f>
        <v>17694.4359422901</v>
      </c>
      <c r="L34" s="29" t="n">
        <f aca="false">K34</f>
        <v>17694.4359422901</v>
      </c>
      <c r="M34" s="29" t="n">
        <f aca="false">M33+L34</f>
        <v>221226.571199286</v>
      </c>
      <c r="N34" s="27" t="n">
        <f aca="false">IF(M34&gt;=0,1,0)</f>
        <v>1</v>
      </c>
    </row>
    <row r="35" customFormat="false" ht="15" hidden="false" customHeight="false" outlineLevel="0" collapsed="false">
      <c r="A35" s="27" t="n">
        <f aca="false">A34+1</f>
        <v>30</v>
      </c>
      <c r="B35" s="28" t="n">
        <f aca="false">MIN(Premissas!$C$11,B34*(1-Premissas!$C$12)+IF(A35=1,Premissas!$C$9,Premissas!$C$10*Premissas!$B$26))</f>
        <v>29.7429418983353</v>
      </c>
      <c r="C35" s="28" t="n">
        <f aca="false">MAX(0,B35-B34*(1-Premissas!$C$12))</f>
        <v>1.5</v>
      </c>
      <c r="D35" s="29" t="n">
        <f aca="false">B35*Premissas!$C$7*Premissas!$B$27</f>
        <v>35691.5302780024</v>
      </c>
      <c r="E35" s="29" t="n">
        <f aca="false">C35*Premissas!$C$8*Premissas!$B$27</f>
        <v>12000</v>
      </c>
      <c r="F35" s="29" t="n">
        <f aca="false">D35+E35</f>
        <v>47691.5302780024</v>
      </c>
      <c r="G35" s="29" t="n">
        <f aca="false">F35*Premissas!$C$14</f>
        <v>2861.49181668014</v>
      </c>
      <c r="H35" s="29" t="n">
        <f aca="false">F35*Premissas!$C$13</f>
        <v>16692.0355973008</v>
      </c>
      <c r="I35" s="29" t="n">
        <f aca="false">F35-G35-H35</f>
        <v>28138.0028640214</v>
      </c>
      <c r="J35" s="29" t="n">
        <f aca="false">Premissas!$C$15+Premissas!$C$16</f>
        <v>10000</v>
      </c>
      <c r="K35" s="29" t="n">
        <f aca="false">I35-J35</f>
        <v>18138.0028640214</v>
      </c>
      <c r="L35" s="29" t="n">
        <f aca="false">K35</f>
        <v>18138.0028640214</v>
      </c>
      <c r="M35" s="29" t="n">
        <f aca="false">M34+L35</f>
        <v>239364.574063308</v>
      </c>
      <c r="N35" s="27" t="n">
        <f aca="false">IF(M35&gt;=0,1,0)</f>
        <v>1</v>
      </c>
    </row>
    <row r="36" customFormat="false" ht="15" hidden="false" customHeight="false" outlineLevel="0" collapsed="false">
      <c r="A36" s="27" t="n">
        <f aca="false">A35+1</f>
        <v>31</v>
      </c>
      <c r="B36" s="28" t="n">
        <f aca="false">MIN(Premissas!$C$11,B35*(1-Premissas!$C$12)+IF(A36=1,Premissas!$C$9,Premissas!$C$10*Premissas!$B$26))</f>
        <v>30</v>
      </c>
      <c r="C36" s="28" t="n">
        <f aca="false">MAX(0,B36-B35*(1-Premissas!$C$12))</f>
        <v>1.14934635861474</v>
      </c>
      <c r="D36" s="29" t="n">
        <f aca="false">B36*Premissas!$C$7*Premissas!$B$27</f>
        <v>36000</v>
      </c>
      <c r="E36" s="29" t="n">
        <f aca="false">C36*Premissas!$C$8*Premissas!$B$27</f>
        <v>9194.77086891794</v>
      </c>
      <c r="F36" s="29" t="n">
        <f aca="false">D36+E36</f>
        <v>45194.7708689179</v>
      </c>
      <c r="G36" s="29" t="n">
        <f aca="false">F36*Premissas!$C$14</f>
        <v>2711.68625213508</v>
      </c>
      <c r="H36" s="29" t="n">
        <f aca="false">F36*Premissas!$C$13</f>
        <v>15818.1698041213</v>
      </c>
      <c r="I36" s="29" t="n">
        <f aca="false">F36-G36-H36</f>
        <v>26664.9148126616</v>
      </c>
      <c r="J36" s="29" t="n">
        <f aca="false">Premissas!$C$15+Premissas!$C$16</f>
        <v>10000</v>
      </c>
      <c r="K36" s="29" t="n">
        <f aca="false">I36-J36</f>
        <v>16664.9148126616</v>
      </c>
      <c r="L36" s="29" t="n">
        <f aca="false">K36</f>
        <v>16664.9148126616</v>
      </c>
      <c r="M36" s="29" t="n">
        <f aca="false">M35+L36</f>
        <v>256029.488875969</v>
      </c>
      <c r="N36" s="27" t="n">
        <f aca="false">IF(M36&gt;=0,1,0)</f>
        <v>1</v>
      </c>
    </row>
    <row r="37" customFormat="false" ht="15" hidden="false" customHeight="false" outlineLevel="0" collapsed="false">
      <c r="A37" s="27" t="n">
        <f aca="false">A36+1</f>
        <v>32</v>
      </c>
      <c r="B37" s="28" t="n">
        <f aca="false">MIN(Premissas!$C$11,B36*(1-Premissas!$C$12)+IF(A37=1,Premissas!$C$9,Premissas!$C$10*Premissas!$B$26))</f>
        <v>30</v>
      </c>
      <c r="C37" s="28" t="n">
        <f aca="false">MAX(0,B37-B36*(1-Premissas!$C$12))</f>
        <v>0.900000000000002</v>
      </c>
      <c r="D37" s="29" t="n">
        <f aca="false">B37*Premissas!$C$7*Premissas!$B$27</f>
        <v>36000</v>
      </c>
      <c r="E37" s="29" t="n">
        <f aca="false">C37*Premissas!$C$8*Premissas!$B$27</f>
        <v>7200.00000000002</v>
      </c>
      <c r="F37" s="29" t="n">
        <f aca="false">D37+E37</f>
        <v>43200</v>
      </c>
      <c r="G37" s="29" t="n">
        <f aca="false">F37*Premissas!$C$14</f>
        <v>2592</v>
      </c>
      <c r="H37" s="29" t="n">
        <f aca="false">F37*Premissas!$C$13</f>
        <v>15120</v>
      </c>
      <c r="I37" s="29" t="n">
        <f aca="false">F37-G37-H37</f>
        <v>25488</v>
      </c>
      <c r="J37" s="29" t="n">
        <f aca="false">Premissas!$C$15+Premissas!$C$16</f>
        <v>10000</v>
      </c>
      <c r="K37" s="29" t="n">
        <f aca="false">I37-J37</f>
        <v>15488</v>
      </c>
      <c r="L37" s="29" t="n">
        <f aca="false">K37</f>
        <v>15488</v>
      </c>
      <c r="M37" s="29" t="n">
        <f aca="false">M36+L37</f>
        <v>271517.488875969</v>
      </c>
      <c r="N37" s="27" t="n">
        <f aca="false">IF(M37&gt;=0,1,0)</f>
        <v>1</v>
      </c>
    </row>
    <row r="38" customFormat="false" ht="15" hidden="false" customHeight="false" outlineLevel="0" collapsed="false">
      <c r="A38" s="27" t="n">
        <f aca="false">A37+1</f>
        <v>33</v>
      </c>
      <c r="B38" s="28" t="n">
        <f aca="false">MIN(Premissas!$C$11,B37*(1-Premissas!$C$12)+IF(A38=1,Premissas!$C$9,Premissas!$C$10*Premissas!$B$26))</f>
        <v>30</v>
      </c>
      <c r="C38" s="28" t="n">
        <f aca="false">MAX(0,B38-B37*(1-Premissas!$C$12))</f>
        <v>0.900000000000002</v>
      </c>
      <c r="D38" s="29" t="n">
        <f aca="false">B38*Premissas!$C$7*Premissas!$B$27</f>
        <v>36000</v>
      </c>
      <c r="E38" s="29" t="n">
        <f aca="false">C38*Premissas!$C$8*Premissas!$B$27</f>
        <v>7200.00000000002</v>
      </c>
      <c r="F38" s="29" t="n">
        <f aca="false">D38+E38</f>
        <v>43200</v>
      </c>
      <c r="G38" s="29" t="n">
        <f aca="false">F38*Premissas!$C$14</f>
        <v>2592</v>
      </c>
      <c r="H38" s="29" t="n">
        <f aca="false">F38*Premissas!$C$13</f>
        <v>15120</v>
      </c>
      <c r="I38" s="29" t="n">
        <f aca="false">F38-G38-H38</f>
        <v>25488</v>
      </c>
      <c r="J38" s="29" t="n">
        <f aca="false">Premissas!$C$15+Premissas!$C$16</f>
        <v>10000</v>
      </c>
      <c r="K38" s="29" t="n">
        <f aca="false">I38-J38</f>
        <v>15488</v>
      </c>
      <c r="L38" s="29" t="n">
        <f aca="false">K38</f>
        <v>15488</v>
      </c>
      <c r="M38" s="29" t="n">
        <f aca="false">M37+L38</f>
        <v>287005.488875969</v>
      </c>
      <c r="N38" s="27" t="n">
        <f aca="false">IF(M38&gt;=0,1,0)</f>
        <v>1</v>
      </c>
    </row>
    <row r="39" customFormat="false" ht="15" hidden="false" customHeight="false" outlineLevel="0" collapsed="false">
      <c r="A39" s="27" t="n">
        <f aca="false">A38+1</f>
        <v>34</v>
      </c>
      <c r="B39" s="28" t="n">
        <f aca="false">MIN(Premissas!$C$11,B38*(1-Premissas!$C$12)+IF(A39=1,Premissas!$C$9,Premissas!$C$10*Premissas!$B$26))</f>
        <v>30</v>
      </c>
      <c r="C39" s="28" t="n">
        <f aca="false">MAX(0,B39-B38*(1-Premissas!$C$12))</f>
        <v>0.900000000000002</v>
      </c>
      <c r="D39" s="29" t="n">
        <f aca="false">B39*Premissas!$C$7*Premissas!$B$27</f>
        <v>36000</v>
      </c>
      <c r="E39" s="29" t="n">
        <f aca="false">C39*Premissas!$C$8*Premissas!$B$27</f>
        <v>7200.00000000002</v>
      </c>
      <c r="F39" s="29" t="n">
        <f aca="false">D39+E39</f>
        <v>43200</v>
      </c>
      <c r="G39" s="29" t="n">
        <f aca="false">F39*Premissas!$C$14</f>
        <v>2592</v>
      </c>
      <c r="H39" s="29" t="n">
        <f aca="false">F39*Premissas!$C$13</f>
        <v>15120</v>
      </c>
      <c r="I39" s="29" t="n">
        <f aca="false">F39-G39-H39</f>
        <v>25488</v>
      </c>
      <c r="J39" s="29" t="n">
        <f aca="false">Premissas!$C$15+Premissas!$C$16</f>
        <v>10000</v>
      </c>
      <c r="K39" s="29" t="n">
        <f aca="false">I39-J39</f>
        <v>15488</v>
      </c>
      <c r="L39" s="29" t="n">
        <f aca="false">K39</f>
        <v>15488</v>
      </c>
      <c r="M39" s="29" t="n">
        <f aca="false">M38+L39</f>
        <v>302493.488875969</v>
      </c>
      <c r="N39" s="27" t="n">
        <f aca="false">IF(M39&gt;=0,1,0)</f>
        <v>1</v>
      </c>
    </row>
    <row r="40" customFormat="false" ht="15" hidden="false" customHeight="false" outlineLevel="0" collapsed="false">
      <c r="A40" s="27" t="n">
        <f aca="false">A39+1</f>
        <v>35</v>
      </c>
      <c r="B40" s="28" t="n">
        <f aca="false">MIN(Premissas!$C$11,B39*(1-Premissas!$C$12)+IF(A40=1,Premissas!$C$9,Premissas!$C$10*Premissas!$B$26))</f>
        <v>30</v>
      </c>
      <c r="C40" s="28" t="n">
        <f aca="false">MAX(0,B40-B39*(1-Premissas!$C$12))</f>
        <v>0.900000000000002</v>
      </c>
      <c r="D40" s="29" t="n">
        <f aca="false">B40*Premissas!$C$7*Premissas!$B$27</f>
        <v>36000</v>
      </c>
      <c r="E40" s="29" t="n">
        <f aca="false">C40*Premissas!$C$8*Premissas!$B$27</f>
        <v>7200.00000000002</v>
      </c>
      <c r="F40" s="29" t="n">
        <f aca="false">D40+E40</f>
        <v>43200</v>
      </c>
      <c r="G40" s="29" t="n">
        <f aca="false">F40*Premissas!$C$14</f>
        <v>2592</v>
      </c>
      <c r="H40" s="29" t="n">
        <f aca="false">F40*Premissas!$C$13</f>
        <v>15120</v>
      </c>
      <c r="I40" s="29" t="n">
        <f aca="false">F40-G40-H40</f>
        <v>25488</v>
      </c>
      <c r="J40" s="29" t="n">
        <f aca="false">Premissas!$C$15+Premissas!$C$16</f>
        <v>10000</v>
      </c>
      <c r="K40" s="29" t="n">
        <f aca="false">I40-J40</f>
        <v>15488</v>
      </c>
      <c r="L40" s="29" t="n">
        <f aca="false">K40</f>
        <v>15488</v>
      </c>
      <c r="M40" s="29" t="n">
        <f aca="false">M39+L40</f>
        <v>317981.488875969</v>
      </c>
      <c r="N40" s="27" t="n">
        <f aca="false">IF(M40&gt;=0,1,0)</f>
        <v>1</v>
      </c>
    </row>
    <row r="41" customFormat="false" ht="15" hidden="false" customHeight="false" outlineLevel="0" collapsed="false">
      <c r="A41" s="31" t="n">
        <f aca="false">A40+1</f>
        <v>36</v>
      </c>
      <c r="B41" s="32" t="n">
        <f aca="false">MIN(Premissas!$C$11,B40*(1-Premissas!$C$12)+IF(A41=1,Premissas!$C$9,Premissas!$C$10*Premissas!$B$26))</f>
        <v>30</v>
      </c>
      <c r="C41" s="32" t="n">
        <f aca="false">MAX(0,B41-B40*(1-Premissas!$C$12))</f>
        <v>0.900000000000002</v>
      </c>
      <c r="D41" s="33" t="n">
        <f aca="false">B41*Premissas!$C$7*Premissas!$B$27</f>
        <v>36000</v>
      </c>
      <c r="E41" s="33" t="n">
        <f aca="false">C41*Premissas!$C$8*Premissas!$B$27</f>
        <v>7200.00000000002</v>
      </c>
      <c r="F41" s="33" t="n">
        <f aca="false">D41+E41</f>
        <v>43200</v>
      </c>
      <c r="G41" s="33" t="n">
        <f aca="false">F41*Premissas!$C$14</f>
        <v>2592</v>
      </c>
      <c r="H41" s="33" t="n">
        <f aca="false">F41*Premissas!$C$13</f>
        <v>15120</v>
      </c>
      <c r="I41" s="33" t="n">
        <f aca="false">F41-G41-H41</f>
        <v>25488</v>
      </c>
      <c r="J41" s="33" t="n">
        <f aca="false">Premissas!$C$15+Premissas!$C$16</f>
        <v>10000</v>
      </c>
      <c r="K41" s="33" t="n">
        <f aca="false">I41-J41</f>
        <v>15488</v>
      </c>
      <c r="L41" s="33" t="n">
        <f aca="false">K41</f>
        <v>15488</v>
      </c>
      <c r="M41" s="33" t="n">
        <f aca="false">M40+L41</f>
        <v>333469.488875969</v>
      </c>
      <c r="N41" s="31" t="n">
        <f aca="false">IF(M41&gt;=0,1,0)</f>
        <v>1</v>
      </c>
    </row>
    <row r="43" customFormat="false" ht="15" hidden="false" customHeight="false" outlineLevel="0" collapsed="false">
      <c r="A43" s="15" t="s">
        <v>147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6" min="4" style="0" width="16"/>
    <col collapsed="false" customWidth="true" hidden="false" outlineLevel="0" max="7" min="7" style="0" width="14"/>
    <col collapsed="false" customWidth="true" hidden="false" outlineLevel="0" max="13" min="8" style="0" width="16"/>
    <col collapsed="false" customWidth="true" hidden="false" outlineLevel="0" max="14" min="14" style="0" width="12"/>
  </cols>
  <sheetData>
    <row r="1" customFormat="false" ht="17.35" hidden="false" customHeight="false" outlineLevel="0" collapsed="false">
      <c r="A1" s="1" t="s">
        <v>149</v>
      </c>
    </row>
    <row r="2" customFormat="false" ht="15" hidden="false" customHeight="false" outlineLevel="0" collapsed="false">
      <c r="A2" s="0" t="s">
        <v>33</v>
      </c>
      <c r="B2" s="5" t="str">
        <f aca="false">Premissas!$B$19</f>
        <v>Base</v>
      </c>
    </row>
    <row r="4" customFormat="false" ht="45" hidden="false" customHeight="true" outlineLevel="0" collapsed="false">
      <c r="A4" s="6" t="s">
        <v>133</v>
      </c>
      <c r="B4" s="6" t="s">
        <v>134</v>
      </c>
      <c r="C4" s="6" t="s">
        <v>135</v>
      </c>
      <c r="D4" s="6" t="s">
        <v>136</v>
      </c>
      <c r="E4" s="6" t="s">
        <v>137</v>
      </c>
      <c r="F4" s="6" t="s">
        <v>138</v>
      </c>
      <c r="G4" s="6" t="s">
        <v>139</v>
      </c>
      <c r="H4" s="6" t="s">
        <v>140</v>
      </c>
      <c r="I4" s="6" t="s">
        <v>141</v>
      </c>
      <c r="J4" s="6" t="s">
        <v>142</v>
      </c>
      <c r="K4" s="6" t="s">
        <v>143</v>
      </c>
      <c r="L4" s="6" t="s">
        <v>144</v>
      </c>
      <c r="M4" s="6" t="s">
        <v>145</v>
      </c>
      <c r="N4" s="6" t="s">
        <v>146</v>
      </c>
    </row>
    <row r="5" customFormat="false" ht="15" hidden="false" customHeight="false" outlineLevel="0" collapsed="false">
      <c r="A5" s="27" t="n">
        <v>0</v>
      </c>
      <c r="B5" s="28" t="n">
        <v>0</v>
      </c>
      <c r="C5" s="28" t="n">
        <v>0</v>
      </c>
      <c r="D5" s="29" t="n">
        <v>0</v>
      </c>
      <c r="E5" s="29" t="n">
        <v>0</v>
      </c>
      <c r="F5" s="29" t="n">
        <v>0</v>
      </c>
      <c r="G5" s="29" t="n">
        <v>0</v>
      </c>
      <c r="H5" s="29" t="n">
        <v>0</v>
      </c>
      <c r="I5" s="29" t="n">
        <v>0</v>
      </c>
      <c r="J5" s="29" t="n">
        <v>0</v>
      </c>
      <c r="K5" s="29" t="n">
        <v>0</v>
      </c>
      <c r="L5" s="30" t="n">
        <f aca="false">-Premissas!$D$6</f>
        <v>-50000</v>
      </c>
      <c r="M5" s="29" t="n">
        <f aca="false">L5</f>
        <v>-50000</v>
      </c>
      <c r="N5" s="27" t="n">
        <f aca="false">IF(M5&gt;=0,1,0)</f>
        <v>0</v>
      </c>
    </row>
    <row r="6" customFormat="false" ht="15" hidden="false" customHeight="false" outlineLevel="0" collapsed="false">
      <c r="A6" s="27" t="n">
        <f aca="false">A5+1</f>
        <v>1</v>
      </c>
      <c r="B6" s="28" t="n">
        <f aca="false">MIN(Premissas!$D$11,B5*(1-Premissas!$D$12)+IF(A6=1,Premissas!$D$9,Premissas!$D$10*Premissas!$B$26))</f>
        <v>2</v>
      </c>
      <c r="C6" s="28" t="n">
        <f aca="false">MAX(0,B6-B5*(1-Premissas!$D$12))</f>
        <v>2</v>
      </c>
      <c r="D6" s="29" t="n">
        <f aca="false">B6*Premissas!$D$7*Premissas!$B$27</f>
        <v>11000</v>
      </c>
      <c r="E6" s="29" t="n">
        <f aca="false">C6*Premissas!$D$8*Premissas!$B$27</f>
        <v>0</v>
      </c>
      <c r="F6" s="29" t="n">
        <f aca="false">D6+E6</f>
        <v>11000</v>
      </c>
      <c r="G6" s="29" t="n">
        <f aca="false">F6*Premissas!$D$14</f>
        <v>1210</v>
      </c>
      <c r="H6" s="29" t="n">
        <f aca="false">F6*Premissas!$D$13</f>
        <v>8580</v>
      </c>
      <c r="I6" s="29" t="n">
        <f aca="false">F6-G6-H6</f>
        <v>1210</v>
      </c>
      <c r="J6" s="29" t="n">
        <f aca="false">Premissas!$D$15+Premissas!$D$16</f>
        <v>11000</v>
      </c>
      <c r="K6" s="29" t="n">
        <f aca="false">I6-J6</f>
        <v>-9790</v>
      </c>
      <c r="L6" s="29" t="n">
        <f aca="false">K6</f>
        <v>-9790</v>
      </c>
      <c r="M6" s="29" t="n">
        <f aca="false">M5+L6</f>
        <v>-59790</v>
      </c>
      <c r="N6" s="27" t="n">
        <f aca="false">IF(M6&gt;=0,1,0)</f>
        <v>0</v>
      </c>
    </row>
    <row r="7" customFormat="false" ht="15" hidden="false" customHeight="false" outlineLevel="0" collapsed="false">
      <c r="A7" s="27" t="n">
        <f aca="false">A6+1</f>
        <v>2</v>
      </c>
      <c r="B7" s="28" t="n">
        <f aca="false">MIN(Premissas!$D$11,B6*(1-Premissas!$D$12)+IF(A7=1,Premissas!$D$9,Premissas!$D$10*Premissas!$B$26))</f>
        <v>3.4</v>
      </c>
      <c r="C7" s="28" t="n">
        <f aca="false">MAX(0,B7-B6*(1-Premissas!$D$12))</f>
        <v>1.5</v>
      </c>
      <c r="D7" s="29" t="n">
        <f aca="false">B7*Premissas!$D$7*Premissas!$B$27</f>
        <v>18700</v>
      </c>
      <c r="E7" s="29" t="n">
        <f aca="false">C7*Premissas!$D$8*Premissas!$B$27</f>
        <v>0</v>
      </c>
      <c r="F7" s="29" t="n">
        <f aca="false">D7+E7</f>
        <v>18700</v>
      </c>
      <c r="G7" s="29" t="n">
        <f aca="false">F7*Premissas!$D$14</f>
        <v>2057</v>
      </c>
      <c r="H7" s="29" t="n">
        <f aca="false">F7*Premissas!$D$13</f>
        <v>14586</v>
      </c>
      <c r="I7" s="29" t="n">
        <f aca="false">F7-G7-H7</f>
        <v>2057</v>
      </c>
      <c r="J7" s="29" t="n">
        <f aca="false">Premissas!$D$15+Premissas!$D$16</f>
        <v>11000</v>
      </c>
      <c r="K7" s="29" t="n">
        <f aca="false">I7-J7</f>
        <v>-8943</v>
      </c>
      <c r="L7" s="29" t="n">
        <f aca="false">K7</f>
        <v>-8943</v>
      </c>
      <c r="M7" s="29" t="n">
        <f aca="false">M6+L7</f>
        <v>-68733</v>
      </c>
      <c r="N7" s="27" t="n">
        <f aca="false">IF(M7&gt;=0,1,0)</f>
        <v>0</v>
      </c>
    </row>
    <row r="8" customFormat="false" ht="15" hidden="false" customHeight="false" outlineLevel="0" collapsed="false">
      <c r="A8" s="27" t="n">
        <f aca="false">A7+1</f>
        <v>3</v>
      </c>
      <c r="B8" s="28" t="n">
        <f aca="false">MIN(Premissas!$D$11,B7*(1-Premissas!$D$12)+IF(A8=1,Premissas!$D$9,Premissas!$D$10*Premissas!$B$26))</f>
        <v>4.73</v>
      </c>
      <c r="C8" s="28" t="n">
        <f aca="false">MAX(0,B8-B7*(1-Premissas!$D$12))</f>
        <v>1.5</v>
      </c>
      <c r="D8" s="29" t="n">
        <f aca="false">B8*Premissas!$D$7*Premissas!$B$27</f>
        <v>26015</v>
      </c>
      <c r="E8" s="29" t="n">
        <f aca="false">C8*Premissas!$D$8*Premissas!$B$27</f>
        <v>0</v>
      </c>
      <c r="F8" s="29" t="n">
        <f aca="false">D8+E8</f>
        <v>26015</v>
      </c>
      <c r="G8" s="29" t="n">
        <f aca="false">F8*Premissas!$D$14</f>
        <v>2861.65</v>
      </c>
      <c r="H8" s="29" t="n">
        <f aca="false">F8*Premissas!$D$13</f>
        <v>20291.7</v>
      </c>
      <c r="I8" s="29" t="n">
        <f aca="false">F8-G8-H8</f>
        <v>2861.65</v>
      </c>
      <c r="J8" s="29" t="n">
        <f aca="false">Premissas!$D$15+Premissas!$D$16</f>
        <v>11000</v>
      </c>
      <c r="K8" s="29" t="n">
        <f aca="false">I8-J8</f>
        <v>-8138.35</v>
      </c>
      <c r="L8" s="29" t="n">
        <f aca="false">K8</f>
        <v>-8138.35</v>
      </c>
      <c r="M8" s="29" t="n">
        <f aca="false">M7+L8</f>
        <v>-76871.35</v>
      </c>
      <c r="N8" s="27" t="n">
        <f aca="false">IF(M8&gt;=0,1,0)</f>
        <v>0</v>
      </c>
    </row>
    <row r="9" customFormat="false" ht="15" hidden="false" customHeight="false" outlineLevel="0" collapsed="false">
      <c r="A9" s="27" t="n">
        <f aca="false">A8+1</f>
        <v>4</v>
      </c>
      <c r="B9" s="28" t="n">
        <f aca="false">MIN(Premissas!$D$11,B8*(1-Premissas!$D$12)+IF(A9=1,Premissas!$D$9,Premissas!$D$10*Premissas!$B$26))</f>
        <v>5.9935</v>
      </c>
      <c r="C9" s="28" t="n">
        <f aca="false">MAX(0,B9-B8*(1-Premissas!$D$12))</f>
        <v>1.5</v>
      </c>
      <c r="D9" s="29" t="n">
        <f aca="false">B9*Premissas!$D$7*Premissas!$B$27</f>
        <v>32964.25</v>
      </c>
      <c r="E9" s="29" t="n">
        <f aca="false">C9*Premissas!$D$8*Premissas!$B$27</f>
        <v>0</v>
      </c>
      <c r="F9" s="29" t="n">
        <f aca="false">D9+E9</f>
        <v>32964.25</v>
      </c>
      <c r="G9" s="29" t="n">
        <f aca="false">F9*Premissas!$D$14</f>
        <v>3626.0675</v>
      </c>
      <c r="H9" s="29" t="n">
        <f aca="false">F9*Premissas!$D$13</f>
        <v>25712.115</v>
      </c>
      <c r="I9" s="29" t="n">
        <f aca="false">F9-G9-H9</f>
        <v>3626.0675</v>
      </c>
      <c r="J9" s="29" t="n">
        <f aca="false">Premissas!$D$15+Premissas!$D$16</f>
        <v>11000</v>
      </c>
      <c r="K9" s="29" t="n">
        <f aca="false">I9-J9</f>
        <v>-7373.9325</v>
      </c>
      <c r="L9" s="29" t="n">
        <f aca="false">K9</f>
        <v>-7373.9325</v>
      </c>
      <c r="M9" s="29" t="n">
        <f aca="false">M8+L9</f>
        <v>-84245.2825</v>
      </c>
      <c r="N9" s="27" t="n">
        <f aca="false">IF(M9&gt;=0,1,0)</f>
        <v>0</v>
      </c>
    </row>
    <row r="10" customFormat="false" ht="15" hidden="false" customHeight="false" outlineLevel="0" collapsed="false">
      <c r="A10" s="27" t="n">
        <f aca="false">A9+1</f>
        <v>5</v>
      </c>
      <c r="B10" s="28" t="n">
        <f aca="false">MIN(Premissas!$D$11,B9*(1-Premissas!$D$12)+IF(A10=1,Premissas!$D$9,Premissas!$D$10*Premissas!$B$26))</f>
        <v>7.193825</v>
      </c>
      <c r="C10" s="28" t="n">
        <f aca="false">MAX(0,B10-B9*(1-Premissas!$D$12))</f>
        <v>1.5</v>
      </c>
      <c r="D10" s="29" t="n">
        <f aca="false">B10*Premissas!$D$7*Premissas!$B$27</f>
        <v>39566.0375</v>
      </c>
      <c r="E10" s="29" t="n">
        <f aca="false">C10*Premissas!$D$8*Premissas!$B$27</f>
        <v>0</v>
      </c>
      <c r="F10" s="29" t="n">
        <f aca="false">D10+E10</f>
        <v>39566.0375</v>
      </c>
      <c r="G10" s="29" t="n">
        <f aca="false">F10*Premissas!$D$14</f>
        <v>4352.264125</v>
      </c>
      <c r="H10" s="29" t="n">
        <f aca="false">F10*Premissas!$D$13</f>
        <v>30861.50925</v>
      </c>
      <c r="I10" s="29" t="n">
        <f aca="false">F10-G10-H10</f>
        <v>4352.264125</v>
      </c>
      <c r="J10" s="29" t="n">
        <f aca="false">Premissas!$D$15+Premissas!$D$16</f>
        <v>11000</v>
      </c>
      <c r="K10" s="29" t="n">
        <f aca="false">I10-J10</f>
        <v>-6647.735875</v>
      </c>
      <c r="L10" s="29" t="n">
        <f aca="false">K10</f>
        <v>-6647.735875</v>
      </c>
      <c r="M10" s="29" t="n">
        <f aca="false">M9+L10</f>
        <v>-90893.018375</v>
      </c>
      <c r="N10" s="27" t="n">
        <f aca="false">IF(M10&gt;=0,1,0)</f>
        <v>0</v>
      </c>
    </row>
    <row r="11" customFormat="false" ht="15" hidden="false" customHeight="false" outlineLevel="0" collapsed="false">
      <c r="A11" s="27" t="n">
        <f aca="false">A10+1</f>
        <v>6</v>
      </c>
      <c r="B11" s="28" t="n">
        <f aca="false">MIN(Premissas!$D$11,B10*(1-Premissas!$D$12)+IF(A11=1,Premissas!$D$9,Premissas!$D$10*Premissas!$B$26))</f>
        <v>8.33413375</v>
      </c>
      <c r="C11" s="28" t="n">
        <f aca="false">MAX(0,B11-B10*(1-Premissas!$D$12))</f>
        <v>1.5</v>
      </c>
      <c r="D11" s="29" t="n">
        <f aca="false">B11*Premissas!$D$7*Premissas!$B$27</f>
        <v>45837.735625</v>
      </c>
      <c r="E11" s="29" t="n">
        <f aca="false">C11*Premissas!$D$8*Premissas!$B$27</f>
        <v>0</v>
      </c>
      <c r="F11" s="29" t="n">
        <f aca="false">D11+E11</f>
        <v>45837.735625</v>
      </c>
      <c r="G11" s="29" t="n">
        <f aca="false">F11*Premissas!$D$14</f>
        <v>5042.15091875</v>
      </c>
      <c r="H11" s="29" t="n">
        <f aca="false">F11*Premissas!$D$13</f>
        <v>35753.4337875</v>
      </c>
      <c r="I11" s="29" t="n">
        <f aca="false">F11-G11-H11</f>
        <v>5042.15091875</v>
      </c>
      <c r="J11" s="29" t="n">
        <f aca="false">Premissas!$D$15+Premissas!$D$16</f>
        <v>11000</v>
      </c>
      <c r="K11" s="29" t="n">
        <f aca="false">I11-J11</f>
        <v>-5957.84908125</v>
      </c>
      <c r="L11" s="29" t="n">
        <f aca="false">K11</f>
        <v>-5957.84908125</v>
      </c>
      <c r="M11" s="29" t="n">
        <f aca="false">M10+L11</f>
        <v>-96850.86745625</v>
      </c>
      <c r="N11" s="27" t="n">
        <f aca="false">IF(M11&gt;=0,1,0)</f>
        <v>0</v>
      </c>
    </row>
    <row r="12" customFormat="false" ht="15" hidden="false" customHeight="false" outlineLevel="0" collapsed="false">
      <c r="A12" s="27" t="n">
        <f aca="false">A11+1</f>
        <v>7</v>
      </c>
      <c r="B12" s="28" t="n">
        <f aca="false">MIN(Premissas!$D$11,B11*(1-Premissas!$D$12)+IF(A12=1,Premissas!$D$9,Premissas!$D$10*Premissas!$B$26))</f>
        <v>9.4174270625</v>
      </c>
      <c r="C12" s="28" t="n">
        <f aca="false">MAX(0,B12-B11*(1-Premissas!$D$12))</f>
        <v>1.5</v>
      </c>
      <c r="D12" s="29" t="n">
        <f aca="false">B12*Premissas!$D$7*Premissas!$B$27</f>
        <v>51795.84884375</v>
      </c>
      <c r="E12" s="29" t="n">
        <f aca="false">C12*Premissas!$D$8*Premissas!$B$27</f>
        <v>0</v>
      </c>
      <c r="F12" s="29" t="n">
        <f aca="false">D12+E12</f>
        <v>51795.84884375</v>
      </c>
      <c r="G12" s="29" t="n">
        <f aca="false">F12*Premissas!$D$14</f>
        <v>5697.5433728125</v>
      </c>
      <c r="H12" s="29" t="n">
        <f aca="false">F12*Premissas!$D$13</f>
        <v>40400.762098125</v>
      </c>
      <c r="I12" s="29" t="n">
        <f aca="false">F12-G12-H12</f>
        <v>5697.5433728125</v>
      </c>
      <c r="J12" s="29" t="n">
        <f aca="false">Premissas!$D$15+Premissas!$D$16</f>
        <v>11000</v>
      </c>
      <c r="K12" s="29" t="n">
        <f aca="false">I12-J12</f>
        <v>-5302.4566271875</v>
      </c>
      <c r="L12" s="29" t="n">
        <f aca="false">K12</f>
        <v>-5302.4566271875</v>
      </c>
      <c r="M12" s="29" t="n">
        <f aca="false">M11+L12</f>
        <v>-102153.324083438</v>
      </c>
      <c r="N12" s="27" t="n">
        <f aca="false">IF(M12&gt;=0,1,0)</f>
        <v>0</v>
      </c>
    </row>
    <row r="13" customFormat="false" ht="15" hidden="false" customHeight="false" outlineLevel="0" collapsed="false">
      <c r="A13" s="27" t="n">
        <f aca="false">A12+1</f>
        <v>8</v>
      </c>
      <c r="B13" s="28" t="n">
        <f aca="false">MIN(Premissas!$D$11,B12*(1-Premissas!$D$12)+IF(A13=1,Premissas!$D$9,Premissas!$D$10*Premissas!$B$26))</f>
        <v>10.446555709375</v>
      </c>
      <c r="C13" s="28" t="n">
        <f aca="false">MAX(0,B13-B12*(1-Premissas!$D$12))</f>
        <v>1.5</v>
      </c>
      <c r="D13" s="29" t="n">
        <f aca="false">B13*Premissas!$D$7*Premissas!$B$27</f>
        <v>57456.0564015625</v>
      </c>
      <c r="E13" s="29" t="n">
        <f aca="false">C13*Premissas!$D$8*Premissas!$B$27</f>
        <v>0</v>
      </c>
      <c r="F13" s="29" t="n">
        <f aca="false">D13+E13</f>
        <v>57456.0564015625</v>
      </c>
      <c r="G13" s="29" t="n">
        <f aca="false">F13*Premissas!$D$14</f>
        <v>6320.16620417188</v>
      </c>
      <c r="H13" s="29" t="n">
        <f aca="false">F13*Premissas!$D$13</f>
        <v>44815.7239932188</v>
      </c>
      <c r="I13" s="29" t="n">
        <f aca="false">F13-G13-H13</f>
        <v>6320.16620417187</v>
      </c>
      <c r="J13" s="29" t="n">
        <f aca="false">Premissas!$D$15+Premissas!$D$16</f>
        <v>11000</v>
      </c>
      <c r="K13" s="29" t="n">
        <f aca="false">I13-J13</f>
        <v>-4679.83379582813</v>
      </c>
      <c r="L13" s="29" t="n">
        <f aca="false">K13</f>
        <v>-4679.83379582813</v>
      </c>
      <c r="M13" s="29" t="n">
        <f aca="false">M12+L13</f>
        <v>-106833.157879266</v>
      </c>
      <c r="N13" s="27" t="n">
        <f aca="false">IF(M13&gt;=0,1,0)</f>
        <v>0</v>
      </c>
    </row>
    <row r="14" customFormat="false" ht="15" hidden="false" customHeight="false" outlineLevel="0" collapsed="false">
      <c r="A14" s="27" t="n">
        <f aca="false">A13+1</f>
        <v>9</v>
      </c>
      <c r="B14" s="28" t="n">
        <f aca="false">MIN(Premissas!$D$11,B13*(1-Premissas!$D$12)+IF(A14=1,Premissas!$D$9,Premissas!$D$10*Premissas!$B$26))</f>
        <v>11.4242279239063</v>
      </c>
      <c r="C14" s="28" t="n">
        <f aca="false">MAX(0,B14-B13*(1-Premissas!$D$12))</f>
        <v>1.5</v>
      </c>
      <c r="D14" s="29" t="n">
        <f aca="false">B14*Premissas!$D$7*Premissas!$B$27</f>
        <v>62833.2535814844</v>
      </c>
      <c r="E14" s="29" t="n">
        <f aca="false">C14*Premissas!$D$8*Premissas!$B$27</f>
        <v>0</v>
      </c>
      <c r="F14" s="29" t="n">
        <f aca="false">D14+E14</f>
        <v>62833.2535814844</v>
      </c>
      <c r="G14" s="29" t="n">
        <f aca="false">F14*Premissas!$D$14</f>
        <v>6911.65789396328</v>
      </c>
      <c r="H14" s="29" t="n">
        <f aca="false">F14*Premissas!$D$13</f>
        <v>49009.9377935578</v>
      </c>
      <c r="I14" s="29" t="n">
        <f aca="false">F14-G14-H14</f>
        <v>6911.65789396328</v>
      </c>
      <c r="J14" s="29" t="n">
        <f aca="false">Premissas!$D$15+Premissas!$D$16</f>
        <v>11000</v>
      </c>
      <c r="K14" s="29" t="n">
        <f aca="false">I14-J14</f>
        <v>-4088.34210603672</v>
      </c>
      <c r="L14" s="29" t="n">
        <f aca="false">K14</f>
        <v>-4088.34210603672</v>
      </c>
      <c r="M14" s="29" t="n">
        <f aca="false">M13+L14</f>
        <v>-110921.499985302</v>
      </c>
      <c r="N14" s="27" t="n">
        <f aca="false">IF(M14&gt;=0,1,0)</f>
        <v>0</v>
      </c>
    </row>
    <row r="15" customFormat="false" ht="15" hidden="false" customHeight="false" outlineLevel="0" collapsed="false">
      <c r="A15" s="27" t="n">
        <f aca="false">A14+1</f>
        <v>10</v>
      </c>
      <c r="B15" s="28" t="n">
        <f aca="false">MIN(Premissas!$D$11,B14*(1-Premissas!$D$12)+IF(A15=1,Premissas!$D$9,Premissas!$D$10*Premissas!$B$26))</f>
        <v>12.3530165277109</v>
      </c>
      <c r="C15" s="28" t="n">
        <f aca="false">MAX(0,B15-B14*(1-Premissas!$D$12))</f>
        <v>1.5</v>
      </c>
      <c r="D15" s="29" t="n">
        <f aca="false">B15*Premissas!$D$7*Premissas!$B$27</f>
        <v>67941.5909024102</v>
      </c>
      <c r="E15" s="29" t="n">
        <f aca="false">C15*Premissas!$D$8*Premissas!$B$27</f>
        <v>0</v>
      </c>
      <c r="F15" s="29" t="n">
        <f aca="false">D15+E15</f>
        <v>67941.5909024102</v>
      </c>
      <c r="G15" s="29" t="n">
        <f aca="false">F15*Premissas!$D$14</f>
        <v>7473.57499926512</v>
      </c>
      <c r="H15" s="29" t="n">
        <f aca="false">F15*Premissas!$D$13</f>
        <v>52994.4409038799</v>
      </c>
      <c r="I15" s="29" t="n">
        <f aca="false">F15-G15-H15</f>
        <v>7473.57499926512</v>
      </c>
      <c r="J15" s="29" t="n">
        <f aca="false">Premissas!$D$15+Premissas!$D$16</f>
        <v>11000</v>
      </c>
      <c r="K15" s="29" t="n">
        <f aca="false">I15-J15</f>
        <v>-3526.42500073488</v>
      </c>
      <c r="L15" s="29" t="n">
        <f aca="false">K15</f>
        <v>-3526.42500073488</v>
      </c>
      <c r="M15" s="29" t="n">
        <f aca="false">M14+L15</f>
        <v>-114447.924986037</v>
      </c>
      <c r="N15" s="27" t="n">
        <f aca="false">IF(M15&gt;=0,1,0)</f>
        <v>0</v>
      </c>
    </row>
    <row r="16" customFormat="false" ht="15" hidden="false" customHeight="false" outlineLevel="0" collapsed="false">
      <c r="A16" s="27" t="n">
        <f aca="false">A15+1</f>
        <v>11</v>
      </c>
      <c r="B16" s="28" t="n">
        <f aca="false">MIN(Premissas!$D$11,B15*(1-Premissas!$D$12)+IF(A16=1,Premissas!$D$9,Premissas!$D$10*Premissas!$B$26))</f>
        <v>13.2353657013254</v>
      </c>
      <c r="C16" s="28" t="n">
        <f aca="false">MAX(0,B16-B15*(1-Premissas!$D$12))</f>
        <v>1.5</v>
      </c>
      <c r="D16" s="29" t="n">
        <f aca="false">B16*Premissas!$D$7*Premissas!$B$27</f>
        <v>72794.5113572896</v>
      </c>
      <c r="E16" s="29" t="n">
        <f aca="false">C16*Premissas!$D$8*Premissas!$B$27</f>
        <v>0</v>
      </c>
      <c r="F16" s="29" t="n">
        <f aca="false">D16+E16</f>
        <v>72794.5113572896</v>
      </c>
      <c r="G16" s="29" t="n">
        <f aca="false">F16*Premissas!$D$14</f>
        <v>8007.39624930186</v>
      </c>
      <c r="H16" s="29" t="n">
        <f aca="false">F16*Premissas!$D$13</f>
        <v>56779.7188586859</v>
      </c>
      <c r="I16" s="29" t="n">
        <f aca="false">F16-G16-H16</f>
        <v>8007.39624930186</v>
      </c>
      <c r="J16" s="29" t="n">
        <f aca="false">Premissas!$D$15+Premissas!$D$16</f>
        <v>11000</v>
      </c>
      <c r="K16" s="29" t="n">
        <f aca="false">I16-J16</f>
        <v>-2992.60375069814</v>
      </c>
      <c r="L16" s="29" t="n">
        <f aca="false">K16</f>
        <v>-2992.60375069814</v>
      </c>
      <c r="M16" s="29" t="n">
        <f aca="false">M15+L16</f>
        <v>-117440.528736735</v>
      </c>
      <c r="N16" s="27" t="n">
        <f aca="false">IF(M16&gt;=0,1,0)</f>
        <v>0</v>
      </c>
    </row>
    <row r="17" customFormat="false" ht="15" hidden="false" customHeight="false" outlineLevel="0" collapsed="false">
      <c r="A17" s="31" t="n">
        <f aca="false">A16+1</f>
        <v>12</v>
      </c>
      <c r="B17" s="32" t="n">
        <f aca="false">MIN(Premissas!$D$11,B16*(1-Premissas!$D$12)+IF(A17=1,Premissas!$D$9,Premissas!$D$10*Premissas!$B$26))</f>
        <v>14.0735974162591</v>
      </c>
      <c r="C17" s="32" t="n">
        <f aca="false">MAX(0,B17-B16*(1-Premissas!$D$12))</f>
        <v>1.5</v>
      </c>
      <c r="D17" s="33" t="n">
        <f aca="false">B17*Premissas!$D$7*Premissas!$B$27</f>
        <v>77404.7857894252</v>
      </c>
      <c r="E17" s="33" t="n">
        <f aca="false">C17*Premissas!$D$8*Premissas!$B$27</f>
        <v>0</v>
      </c>
      <c r="F17" s="33" t="n">
        <f aca="false">D17+E17</f>
        <v>77404.7857894252</v>
      </c>
      <c r="G17" s="33" t="n">
        <f aca="false">F17*Premissas!$D$14</f>
        <v>8514.52643683677</v>
      </c>
      <c r="H17" s="33" t="n">
        <f aca="false">F17*Premissas!$D$13</f>
        <v>60375.7329157516</v>
      </c>
      <c r="I17" s="33" t="n">
        <f aca="false">F17-G17-H17</f>
        <v>8514.52643683676</v>
      </c>
      <c r="J17" s="33" t="n">
        <f aca="false">Premissas!$D$15+Premissas!$D$16</f>
        <v>11000</v>
      </c>
      <c r="K17" s="33" t="n">
        <f aca="false">I17-J17</f>
        <v>-2485.47356316324</v>
      </c>
      <c r="L17" s="33" t="n">
        <f aca="false">K17</f>
        <v>-2485.47356316324</v>
      </c>
      <c r="M17" s="33" t="n">
        <f aca="false">M16+L17</f>
        <v>-119926.002299899</v>
      </c>
      <c r="N17" s="31" t="n">
        <f aca="false">IF(M17&gt;=0,1,0)</f>
        <v>0</v>
      </c>
    </row>
    <row r="18" customFormat="false" ht="15" hidden="false" customHeight="false" outlineLevel="0" collapsed="false">
      <c r="A18" s="27" t="n">
        <f aca="false">A17+1</f>
        <v>13</v>
      </c>
      <c r="B18" s="28" t="n">
        <f aca="false">MIN(Premissas!$D$11,B17*(1-Premissas!$D$12)+IF(A18=1,Premissas!$D$9,Premissas!$D$10*Premissas!$B$26))</f>
        <v>14.8699175454462</v>
      </c>
      <c r="C18" s="28" t="n">
        <f aca="false">MAX(0,B18-B17*(1-Premissas!$D$12))</f>
        <v>1.5</v>
      </c>
      <c r="D18" s="29" t="n">
        <f aca="false">B18*Premissas!$D$7*Premissas!$B$27</f>
        <v>81784.5464999539</v>
      </c>
      <c r="E18" s="29" t="n">
        <f aca="false">C18*Premissas!$D$8*Premissas!$B$27</f>
        <v>0</v>
      </c>
      <c r="F18" s="29" t="n">
        <f aca="false">D18+E18</f>
        <v>81784.5464999539</v>
      </c>
      <c r="G18" s="29" t="n">
        <f aca="false">F18*Premissas!$D$14</f>
        <v>8996.30011499493</v>
      </c>
      <c r="H18" s="29" t="n">
        <f aca="false">F18*Premissas!$D$13</f>
        <v>63791.946269964</v>
      </c>
      <c r="I18" s="29" t="n">
        <f aca="false">F18-G18-H18</f>
        <v>8996.30011499493</v>
      </c>
      <c r="J18" s="29" t="n">
        <f aca="false">Premissas!$D$15+Premissas!$D$16</f>
        <v>11000</v>
      </c>
      <c r="K18" s="29" t="n">
        <f aca="false">I18-J18</f>
        <v>-2003.69988500507</v>
      </c>
      <c r="L18" s="29" t="n">
        <f aca="false">K18</f>
        <v>-2003.69988500507</v>
      </c>
      <c r="M18" s="29" t="n">
        <f aca="false">M17+L18</f>
        <v>-121929.702184904</v>
      </c>
      <c r="N18" s="27" t="n">
        <f aca="false">IF(M18&gt;=0,1,0)</f>
        <v>0</v>
      </c>
    </row>
    <row r="19" customFormat="false" ht="15" hidden="false" customHeight="false" outlineLevel="0" collapsed="false">
      <c r="A19" s="27" t="n">
        <f aca="false">A18+1</f>
        <v>14</v>
      </c>
      <c r="B19" s="28" t="n">
        <f aca="false">MIN(Premissas!$D$11,B18*(1-Premissas!$D$12)+IF(A19=1,Premissas!$D$9,Premissas!$D$10*Premissas!$B$26))</f>
        <v>15.6264216681739</v>
      </c>
      <c r="C19" s="28" t="n">
        <f aca="false">MAX(0,B19-B18*(1-Premissas!$D$12))</f>
        <v>1.5</v>
      </c>
      <c r="D19" s="29" t="n">
        <f aca="false">B19*Premissas!$D$7*Premissas!$B$27</f>
        <v>85945.3191749562</v>
      </c>
      <c r="E19" s="29" t="n">
        <f aca="false">C19*Premissas!$D$8*Premissas!$B$27</f>
        <v>0</v>
      </c>
      <c r="F19" s="29" t="n">
        <f aca="false">D19+E19</f>
        <v>85945.3191749562</v>
      </c>
      <c r="G19" s="29" t="n">
        <f aca="false">F19*Premissas!$D$14</f>
        <v>9453.98510924518</v>
      </c>
      <c r="H19" s="29" t="n">
        <f aca="false">F19*Premissas!$D$13</f>
        <v>67037.3489564658</v>
      </c>
      <c r="I19" s="29" t="n">
        <f aca="false">F19-G19-H19</f>
        <v>9453.98510924517</v>
      </c>
      <c r="J19" s="29" t="n">
        <f aca="false">Premissas!$D$15+Premissas!$D$16</f>
        <v>11000</v>
      </c>
      <c r="K19" s="29" t="n">
        <f aca="false">I19-J19</f>
        <v>-1546.01489075483</v>
      </c>
      <c r="L19" s="29" t="n">
        <f aca="false">K19</f>
        <v>-1546.01489075483</v>
      </c>
      <c r="M19" s="29" t="n">
        <f aca="false">M18+L19</f>
        <v>-123475.717075659</v>
      </c>
      <c r="N19" s="27" t="n">
        <f aca="false">IF(M19&gt;=0,1,0)</f>
        <v>0</v>
      </c>
    </row>
    <row r="20" customFormat="false" ht="15" hidden="false" customHeight="false" outlineLevel="0" collapsed="false">
      <c r="A20" s="27" t="n">
        <f aca="false">A19+1</f>
        <v>15</v>
      </c>
      <c r="B20" s="28" t="n">
        <f aca="false">MIN(Premissas!$D$11,B19*(1-Premissas!$D$12)+IF(A20=1,Premissas!$D$9,Premissas!$D$10*Premissas!$B$26))</f>
        <v>16.3451005847652</v>
      </c>
      <c r="C20" s="28" t="n">
        <f aca="false">MAX(0,B20-B19*(1-Premissas!$D$12))</f>
        <v>1.5</v>
      </c>
      <c r="D20" s="29" t="n">
        <f aca="false">B20*Premissas!$D$7*Premissas!$B$27</f>
        <v>89898.0532162084</v>
      </c>
      <c r="E20" s="29" t="n">
        <f aca="false">C20*Premissas!$D$8*Premissas!$B$27</f>
        <v>0</v>
      </c>
      <c r="F20" s="29" t="n">
        <f aca="false">D20+E20</f>
        <v>89898.0532162084</v>
      </c>
      <c r="G20" s="29" t="n">
        <f aca="false">F20*Premissas!$D$14</f>
        <v>9888.78585378292</v>
      </c>
      <c r="H20" s="29" t="n">
        <f aca="false">F20*Premissas!$D$13</f>
        <v>70120.4815086425</v>
      </c>
      <c r="I20" s="29" t="n">
        <f aca="false">F20-G20-H20</f>
        <v>9888.78585378293</v>
      </c>
      <c r="J20" s="29" t="n">
        <f aca="false">Premissas!$D$15+Premissas!$D$16</f>
        <v>11000</v>
      </c>
      <c r="K20" s="29" t="n">
        <f aca="false">I20-J20</f>
        <v>-1111.21414621707</v>
      </c>
      <c r="L20" s="29" t="n">
        <f aca="false">K20</f>
        <v>-1111.21414621707</v>
      </c>
      <c r="M20" s="29" t="n">
        <f aca="false">M19+L20</f>
        <v>-124586.931221876</v>
      </c>
      <c r="N20" s="27" t="n">
        <f aca="false">IF(M20&gt;=0,1,0)</f>
        <v>0</v>
      </c>
    </row>
    <row r="21" customFormat="false" ht="15" hidden="false" customHeight="false" outlineLevel="0" collapsed="false">
      <c r="A21" s="27" t="n">
        <f aca="false">A20+1</f>
        <v>16</v>
      </c>
      <c r="B21" s="28" t="n">
        <f aca="false">MIN(Premissas!$D$11,B20*(1-Premissas!$D$12)+IF(A21=1,Premissas!$D$9,Premissas!$D$10*Premissas!$B$26))</f>
        <v>17.0278455555269</v>
      </c>
      <c r="C21" s="28" t="n">
        <f aca="false">MAX(0,B21-B20*(1-Premissas!$D$12))</f>
        <v>1.5</v>
      </c>
      <c r="D21" s="29" t="n">
        <f aca="false">B21*Premissas!$D$7*Premissas!$B$27</f>
        <v>93653.150555398</v>
      </c>
      <c r="E21" s="29" t="n">
        <f aca="false">C21*Premissas!$D$8*Premissas!$B$27</f>
        <v>0</v>
      </c>
      <c r="F21" s="29" t="n">
        <f aca="false">D21+E21</f>
        <v>93653.150555398</v>
      </c>
      <c r="G21" s="29" t="n">
        <f aca="false">F21*Premissas!$D$14</f>
        <v>10301.8465610938</v>
      </c>
      <c r="H21" s="29" t="n">
        <f aca="false">F21*Premissas!$D$13</f>
        <v>73049.4574332104</v>
      </c>
      <c r="I21" s="29" t="n">
        <f aca="false">F21-G21-H21</f>
        <v>10301.8465610938</v>
      </c>
      <c r="J21" s="29" t="n">
        <f aca="false">Premissas!$D$15+Premissas!$D$16</f>
        <v>11000</v>
      </c>
      <c r="K21" s="29" t="n">
        <f aca="false">I21-J21</f>
        <v>-698.153438906214</v>
      </c>
      <c r="L21" s="29" t="n">
        <f aca="false">K21</f>
        <v>-698.153438906214</v>
      </c>
      <c r="M21" s="29" t="n">
        <f aca="false">M20+L21</f>
        <v>-125285.084660782</v>
      </c>
      <c r="N21" s="27" t="n">
        <f aca="false">IF(M21&gt;=0,1,0)</f>
        <v>0</v>
      </c>
    </row>
    <row r="22" customFormat="false" ht="15" hidden="false" customHeight="false" outlineLevel="0" collapsed="false">
      <c r="A22" s="27" t="n">
        <f aca="false">A21+1</f>
        <v>17</v>
      </c>
      <c r="B22" s="28" t="n">
        <f aca="false">MIN(Premissas!$D$11,B21*(1-Premissas!$D$12)+IF(A22=1,Premissas!$D$9,Premissas!$D$10*Premissas!$B$26))</f>
        <v>17.6764532777506</v>
      </c>
      <c r="C22" s="28" t="n">
        <f aca="false">MAX(0,B22-B21*(1-Premissas!$D$12))</f>
        <v>1.5</v>
      </c>
      <c r="D22" s="29" t="n">
        <f aca="false">B22*Premissas!$D$7*Premissas!$B$27</f>
        <v>97220.4930276281</v>
      </c>
      <c r="E22" s="29" t="n">
        <f aca="false">C22*Premissas!$D$8*Premissas!$B$27</f>
        <v>0</v>
      </c>
      <c r="F22" s="29" t="n">
        <f aca="false">D22+E22</f>
        <v>97220.4930276281</v>
      </c>
      <c r="G22" s="29" t="n">
        <f aca="false">F22*Premissas!$D$14</f>
        <v>10694.2542330391</v>
      </c>
      <c r="H22" s="29" t="n">
        <f aca="false">F22*Premissas!$D$13</f>
        <v>75831.9845615499</v>
      </c>
      <c r="I22" s="29" t="n">
        <f aca="false">F22-G22-H22</f>
        <v>10694.2542330391</v>
      </c>
      <c r="J22" s="29" t="n">
        <f aca="false">Premissas!$D$15+Premissas!$D$16</f>
        <v>11000</v>
      </c>
      <c r="K22" s="29" t="n">
        <f aca="false">I22-J22</f>
        <v>-305.745766960914</v>
      </c>
      <c r="L22" s="29" t="n">
        <f aca="false">K22</f>
        <v>-305.745766960914</v>
      </c>
      <c r="M22" s="29" t="n">
        <f aca="false">M21+L22</f>
        <v>-125590.830427743</v>
      </c>
      <c r="N22" s="27" t="n">
        <f aca="false">IF(M22&gt;=0,1,0)</f>
        <v>0</v>
      </c>
    </row>
    <row r="23" customFormat="false" ht="15" hidden="false" customHeight="false" outlineLevel="0" collapsed="false">
      <c r="A23" s="27" t="n">
        <f aca="false">A22+1</f>
        <v>18</v>
      </c>
      <c r="B23" s="28" t="n">
        <f aca="false">MIN(Premissas!$D$11,B22*(1-Premissas!$D$12)+IF(A23=1,Premissas!$D$9,Premissas!$D$10*Premissas!$B$26))</f>
        <v>18.292630613863</v>
      </c>
      <c r="C23" s="28" t="n">
        <f aca="false">MAX(0,B23-B22*(1-Premissas!$D$12))</f>
        <v>1.5</v>
      </c>
      <c r="D23" s="29" t="n">
        <f aca="false">B23*Premissas!$D$7*Premissas!$B$27</f>
        <v>100609.468376247</v>
      </c>
      <c r="E23" s="29" t="n">
        <f aca="false">C23*Premissas!$D$8*Premissas!$B$27</f>
        <v>0</v>
      </c>
      <c r="F23" s="29" t="n">
        <f aca="false">D23+E23</f>
        <v>100609.468376247</v>
      </c>
      <c r="G23" s="29" t="n">
        <f aca="false">F23*Premissas!$D$14</f>
        <v>11067.0415213871</v>
      </c>
      <c r="H23" s="29" t="n">
        <f aca="false">F23*Premissas!$D$13</f>
        <v>78475.3853334724</v>
      </c>
      <c r="I23" s="29" t="n">
        <f aca="false">F23-G23-H23</f>
        <v>11067.0415213871</v>
      </c>
      <c r="J23" s="29" t="n">
        <f aca="false">Premissas!$D$15+Premissas!$D$16</f>
        <v>11000</v>
      </c>
      <c r="K23" s="29" t="n">
        <f aca="false">I23-J23</f>
        <v>67.0415213871311</v>
      </c>
      <c r="L23" s="29" t="n">
        <f aca="false">K23</f>
        <v>67.0415213871311</v>
      </c>
      <c r="M23" s="29" t="n">
        <f aca="false">M22+L23</f>
        <v>-125523.788906356</v>
      </c>
      <c r="N23" s="27" t="n">
        <f aca="false">IF(M23&gt;=0,1,0)</f>
        <v>0</v>
      </c>
    </row>
    <row r="24" customFormat="false" ht="15" hidden="false" customHeight="false" outlineLevel="0" collapsed="false">
      <c r="A24" s="27" t="n">
        <f aca="false">A23+1</f>
        <v>19</v>
      </c>
      <c r="B24" s="28" t="n">
        <f aca="false">MIN(Premissas!$D$11,B23*(1-Premissas!$D$12)+IF(A24=1,Premissas!$D$9,Premissas!$D$10*Premissas!$B$26))</f>
        <v>18.8779990831699</v>
      </c>
      <c r="C24" s="28" t="n">
        <f aca="false">MAX(0,B24-B23*(1-Premissas!$D$12))</f>
        <v>1.5</v>
      </c>
      <c r="D24" s="29" t="n">
        <f aca="false">B24*Premissas!$D$7*Premissas!$B$27</f>
        <v>103828.994957434</v>
      </c>
      <c r="E24" s="29" t="n">
        <f aca="false">C24*Premissas!$D$8*Premissas!$B$27</f>
        <v>0</v>
      </c>
      <c r="F24" s="29" t="n">
        <f aca="false">D24+E24</f>
        <v>103828.994957434</v>
      </c>
      <c r="G24" s="29" t="n">
        <f aca="false">F24*Premissas!$D$14</f>
        <v>11421.1894453178</v>
      </c>
      <c r="H24" s="29" t="n">
        <f aca="false">F24*Premissas!$D$13</f>
        <v>80986.6160667988</v>
      </c>
      <c r="I24" s="29" t="n">
        <f aca="false">F24-G24-H24</f>
        <v>11421.1894453178</v>
      </c>
      <c r="J24" s="29" t="n">
        <f aca="false">Premissas!$D$15+Premissas!$D$16</f>
        <v>11000</v>
      </c>
      <c r="K24" s="29" t="n">
        <f aca="false">I24-J24</f>
        <v>421.189445317767</v>
      </c>
      <c r="L24" s="29" t="n">
        <f aca="false">K24</f>
        <v>421.189445317767</v>
      </c>
      <c r="M24" s="29" t="n">
        <f aca="false">M23+L24</f>
        <v>-125102.599461038</v>
      </c>
      <c r="N24" s="27" t="n">
        <f aca="false">IF(M24&gt;=0,1,0)</f>
        <v>0</v>
      </c>
    </row>
    <row r="25" customFormat="false" ht="15" hidden="false" customHeight="false" outlineLevel="0" collapsed="false">
      <c r="A25" s="27" t="n">
        <f aca="false">A24+1</f>
        <v>20</v>
      </c>
      <c r="B25" s="28" t="n">
        <f aca="false">MIN(Premissas!$D$11,B24*(1-Premissas!$D$12)+IF(A25=1,Premissas!$D$9,Premissas!$D$10*Premissas!$B$26))</f>
        <v>19.4340991290114</v>
      </c>
      <c r="C25" s="28" t="n">
        <f aca="false">MAX(0,B25-B24*(1-Premissas!$D$12))</f>
        <v>1.5</v>
      </c>
      <c r="D25" s="29" t="n">
        <f aca="false">B25*Premissas!$D$7*Premissas!$B$27</f>
        <v>106887.545209563</v>
      </c>
      <c r="E25" s="29" t="n">
        <f aca="false">C25*Premissas!$D$8*Premissas!$B$27</f>
        <v>0</v>
      </c>
      <c r="F25" s="29" t="n">
        <f aca="false">D25+E25</f>
        <v>106887.545209563</v>
      </c>
      <c r="G25" s="29" t="n">
        <f aca="false">F25*Premissas!$D$14</f>
        <v>11757.6299730519</v>
      </c>
      <c r="H25" s="29" t="n">
        <f aca="false">F25*Premissas!$D$13</f>
        <v>83372.2852634588</v>
      </c>
      <c r="I25" s="29" t="n">
        <f aca="false">F25-G25-H25</f>
        <v>11757.6299730519</v>
      </c>
      <c r="J25" s="29" t="n">
        <f aca="false">Premissas!$D$15+Premissas!$D$16</f>
        <v>11000</v>
      </c>
      <c r="K25" s="29" t="n">
        <f aca="false">I25-J25</f>
        <v>757.62997305188</v>
      </c>
      <c r="L25" s="29" t="n">
        <f aca="false">K25</f>
        <v>757.62997305188</v>
      </c>
      <c r="M25" s="29" t="n">
        <f aca="false">M24+L25</f>
        <v>-124344.969487986</v>
      </c>
      <c r="N25" s="27" t="n">
        <f aca="false">IF(M25&gt;=0,1,0)</f>
        <v>0</v>
      </c>
    </row>
    <row r="26" customFormat="false" ht="15" hidden="false" customHeight="false" outlineLevel="0" collapsed="false">
      <c r="A26" s="27" t="n">
        <f aca="false">A25+1</f>
        <v>21</v>
      </c>
      <c r="B26" s="28" t="n">
        <f aca="false">MIN(Premissas!$D$11,B25*(1-Premissas!$D$12)+IF(A26=1,Premissas!$D$9,Premissas!$D$10*Premissas!$B$26))</f>
        <v>19.9623941725608</v>
      </c>
      <c r="C26" s="28" t="n">
        <f aca="false">MAX(0,B26-B25*(1-Premissas!$D$12))</f>
        <v>1.5</v>
      </c>
      <c r="D26" s="29" t="n">
        <f aca="false">B26*Premissas!$D$7*Premissas!$B$27</f>
        <v>109793.167949084</v>
      </c>
      <c r="E26" s="29" t="n">
        <f aca="false">C26*Premissas!$D$8*Premissas!$B$27</f>
        <v>0</v>
      </c>
      <c r="F26" s="29" t="n">
        <f aca="false">D26+E26</f>
        <v>109793.167949084</v>
      </c>
      <c r="G26" s="29" t="n">
        <f aca="false">F26*Premissas!$D$14</f>
        <v>12077.2484743993</v>
      </c>
      <c r="H26" s="29" t="n">
        <f aca="false">F26*Premissas!$D$13</f>
        <v>85638.6710002859</v>
      </c>
      <c r="I26" s="29" t="n">
        <f aca="false">F26-G26-H26</f>
        <v>12077.2484743993</v>
      </c>
      <c r="J26" s="29" t="n">
        <f aca="false">Premissas!$D$15+Premissas!$D$16</f>
        <v>11000</v>
      </c>
      <c r="K26" s="29" t="n">
        <f aca="false">I26-J26</f>
        <v>1077.24847439928</v>
      </c>
      <c r="L26" s="29" t="n">
        <f aca="false">K26</f>
        <v>1077.24847439928</v>
      </c>
      <c r="M26" s="29" t="n">
        <f aca="false">M25+L26</f>
        <v>-123267.721013587</v>
      </c>
      <c r="N26" s="27" t="n">
        <f aca="false">IF(M26&gt;=0,1,0)</f>
        <v>0</v>
      </c>
    </row>
    <row r="27" customFormat="false" ht="15" hidden="false" customHeight="false" outlineLevel="0" collapsed="false">
      <c r="A27" s="27" t="n">
        <f aca="false">A26+1</f>
        <v>22</v>
      </c>
      <c r="B27" s="28" t="n">
        <f aca="false">MIN(Premissas!$D$11,B26*(1-Premissas!$D$12)+IF(A27=1,Premissas!$D$9,Premissas!$D$10*Premissas!$B$26))</f>
        <v>20.4642744639328</v>
      </c>
      <c r="C27" s="28" t="n">
        <f aca="false">MAX(0,B27-B26*(1-Premissas!$D$12))</f>
        <v>1.5</v>
      </c>
      <c r="D27" s="29" t="n">
        <f aca="false">B27*Premissas!$D$7*Premissas!$B$27</f>
        <v>112553.50955163</v>
      </c>
      <c r="E27" s="29" t="n">
        <f aca="false">C27*Premissas!$D$8*Premissas!$B$27</f>
        <v>0</v>
      </c>
      <c r="F27" s="29" t="n">
        <f aca="false">D27+E27</f>
        <v>112553.50955163</v>
      </c>
      <c r="G27" s="29" t="n">
        <f aca="false">F27*Premissas!$D$14</f>
        <v>12380.8860506793</v>
      </c>
      <c r="H27" s="29" t="n">
        <f aca="false">F27*Premissas!$D$13</f>
        <v>87791.7374502716</v>
      </c>
      <c r="I27" s="29" t="n">
        <f aca="false">F27-G27-H27</f>
        <v>12380.8860506793</v>
      </c>
      <c r="J27" s="29" t="n">
        <f aca="false">Premissas!$D$15+Premissas!$D$16</f>
        <v>11000</v>
      </c>
      <c r="K27" s="29" t="n">
        <f aca="false">I27-J27</f>
        <v>1380.88605067931</v>
      </c>
      <c r="L27" s="29" t="n">
        <f aca="false">K27</f>
        <v>1380.88605067931</v>
      </c>
      <c r="M27" s="29" t="n">
        <f aca="false">M26+L27</f>
        <v>-121886.834962907</v>
      </c>
      <c r="N27" s="27" t="n">
        <f aca="false">IF(M27&gt;=0,1,0)</f>
        <v>0</v>
      </c>
    </row>
    <row r="28" customFormat="false" ht="15" hidden="false" customHeight="false" outlineLevel="0" collapsed="false">
      <c r="A28" s="27" t="n">
        <f aca="false">A27+1</f>
        <v>23</v>
      </c>
      <c r="B28" s="28" t="n">
        <f aca="false">MIN(Premissas!$D$11,B27*(1-Premissas!$D$12)+IF(A28=1,Premissas!$D$9,Premissas!$D$10*Premissas!$B$26))</f>
        <v>20.9410607407361</v>
      </c>
      <c r="C28" s="28" t="n">
        <f aca="false">MAX(0,B28-B27*(1-Premissas!$D$12))</f>
        <v>1.5</v>
      </c>
      <c r="D28" s="29" t="n">
        <f aca="false">B28*Premissas!$D$7*Premissas!$B$27</f>
        <v>115175.834074049</v>
      </c>
      <c r="E28" s="29" t="n">
        <f aca="false">C28*Premissas!$D$8*Premissas!$B$27</f>
        <v>0</v>
      </c>
      <c r="F28" s="29" t="n">
        <f aca="false">D28+E28</f>
        <v>115175.834074049</v>
      </c>
      <c r="G28" s="29" t="n">
        <f aca="false">F28*Premissas!$D$14</f>
        <v>12669.3417481454</v>
      </c>
      <c r="H28" s="29" t="n">
        <f aca="false">F28*Premissas!$D$13</f>
        <v>89837.150577758</v>
      </c>
      <c r="I28" s="29" t="n">
        <f aca="false">F28-G28-H28</f>
        <v>12669.3417481454</v>
      </c>
      <c r="J28" s="29" t="n">
        <f aca="false">Premissas!$D$15+Premissas!$D$16</f>
        <v>11000</v>
      </c>
      <c r="K28" s="29" t="n">
        <f aca="false">I28-J28</f>
        <v>1669.34174814537</v>
      </c>
      <c r="L28" s="29" t="n">
        <f aca="false">K28</f>
        <v>1669.34174814537</v>
      </c>
      <c r="M28" s="29" t="n">
        <f aca="false">M27+L28</f>
        <v>-120217.493214762</v>
      </c>
      <c r="N28" s="27" t="n">
        <f aca="false">IF(M28&gt;=0,1,0)</f>
        <v>0</v>
      </c>
    </row>
    <row r="29" customFormat="false" ht="15" hidden="false" customHeight="false" outlineLevel="0" collapsed="false">
      <c r="A29" s="31" t="n">
        <f aca="false">A28+1</f>
        <v>24</v>
      </c>
      <c r="B29" s="32" t="n">
        <f aca="false">MIN(Premissas!$D$11,B28*(1-Premissas!$D$12)+IF(A29=1,Premissas!$D$9,Premissas!$D$10*Premissas!$B$26))</f>
        <v>21.3940077036993</v>
      </c>
      <c r="C29" s="32" t="n">
        <f aca="false">MAX(0,B29-B28*(1-Premissas!$D$12))</f>
        <v>1.5</v>
      </c>
      <c r="D29" s="33" t="n">
        <f aca="false">B29*Premissas!$D$7*Premissas!$B$27</f>
        <v>117667.042370346</v>
      </c>
      <c r="E29" s="33" t="n">
        <f aca="false">C29*Premissas!$D$8*Premissas!$B$27</f>
        <v>0</v>
      </c>
      <c r="F29" s="33" t="n">
        <f aca="false">D29+E29</f>
        <v>117667.042370346</v>
      </c>
      <c r="G29" s="33" t="n">
        <f aca="false">F29*Premissas!$D$14</f>
        <v>12943.3746607381</v>
      </c>
      <c r="H29" s="33" t="n">
        <f aca="false">F29*Premissas!$D$13</f>
        <v>91780.2930488701</v>
      </c>
      <c r="I29" s="33" t="n">
        <f aca="false">F29-G29-H29</f>
        <v>12943.3746607381</v>
      </c>
      <c r="J29" s="33" t="n">
        <f aca="false">Premissas!$D$15+Premissas!$D$16</f>
        <v>11000</v>
      </c>
      <c r="K29" s="33" t="n">
        <f aca="false">I29-J29</f>
        <v>1943.37466073809</v>
      </c>
      <c r="L29" s="33" t="n">
        <f aca="false">K29</f>
        <v>1943.37466073809</v>
      </c>
      <c r="M29" s="33" t="n">
        <f aca="false">M28+L29</f>
        <v>-118274.118554024</v>
      </c>
      <c r="N29" s="31" t="n">
        <f aca="false">IF(M29&gt;=0,1,0)</f>
        <v>0</v>
      </c>
    </row>
    <row r="30" customFormat="false" ht="15" hidden="false" customHeight="false" outlineLevel="0" collapsed="false">
      <c r="A30" s="27" t="n">
        <f aca="false">A29+1</f>
        <v>25</v>
      </c>
      <c r="B30" s="28" t="n">
        <f aca="false">MIN(Premissas!$D$11,B29*(1-Premissas!$D$12)+IF(A30=1,Premissas!$D$9,Premissas!$D$10*Premissas!$B$26))</f>
        <v>21.8243073185144</v>
      </c>
      <c r="C30" s="28" t="n">
        <f aca="false">MAX(0,B30-B29*(1-Premissas!$D$12))</f>
        <v>1.5</v>
      </c>
      <c r="D30" s="29" t="n">
        <f aca="false">B30*Premissas!$D$7*Premissas!$B$27</f>
        <v>120033.690251829</v>
      </c>
      <c r="E30" s="29" t="n">
        <f aca="false">C30*Premissas!$D$8*Premissas!$B$27</f>
        <v>0</v>
      </c>
      <c r="F30" s="29" t="n">
        <f aca="false">D30+E30</f>
        <v>120033.690251829</v>
      </c>
      <c r="G30" s="29" t="n">
        <f aca="false">F30*Premissas!$D$14</f>
        <v>13203.7059277012</v>
      </c>
      <c r="H30" s="29" t="n">
        <f aca="false">F30*Premissas!$D$13</f>
        <v>93626.2783964266</v>
      </c>
      <c r="I30" s="29" t="n">
        <f aca="false">F30-G30-H30</f>
        <v>13203.7059277012</v>
      </c>
      <c r="J30" s="29" t="n">
        <f aca="false">Premissas!$D$15+Premissas!$D$16</f>
        <v>11000</v>
      </c>
      <c r="K30" s="29" t="n">
        <f aca="false">I30-J30</f>
        <v>2203.70592770117</v>
      </c>
      <c r="L30" s="29" t="n">
        <f aca="false">K30</f>
        <v>2203.70592770117</v>
      </c>
      <c r="M30" s="29" t="n">
        <f aca="false">M29+L30</f>
        <v>-116070.412626323</v>
      </c>
      <c r="N30" s="27" t="n">
        <f aca="false">IF(M30&gt;=0,1,0)</f>
        <v>0</v>
      </c>
    </row>
    <row r="31" customFormat="false" ht="15" hidden="false" customHeight="false" outlineLevel="0" collapsed="false">
      <c r="A31" s="27" t="n">
        <f aca="false">A30+1</f>
        <v>26</v>
      </c>
      <c r="B31" s="28" t="n">
        <f aca="false">MIN(Premissas!$D$11,B30*(1-Premissas!$D$12)+IF(A31=1,Premissas!$D$9,Premissas!$D$10*Premissas!$B$26))</f>
        <v>22.2330919525886</v>
      </c>
      <c r="C31" s="28" t="n">
        <f aca="false">MAX(0,B31-B30*(1-Premissas!$D$12))</f>
        <v>1.5</v>
      </c>
      <c r="D31" s="29" t="n">
        <f aca="false">B31*Premissas!$D$7*Premissas!$B$27</f>
        <v>122282.005739237</v>
      </c>
      <c r="E31" s="29" t="n">
        <f aca="false">C31*Premissas!$D$8*Premissas!$B$27</f>
        <v>0</v>
      </c>
      <c r="F31" s="29" t="n">
        <f aca="false">D31+E31</f>
        <v>122282.005739237</v>
      </c>
      <c r="G31" s="29" t="n">
        <f aca="false">F31*Premissas!$D$14</f>
        <v>13451.0206313161</v>
      </c>
      <c r="H31" s="29" t="n">
        <f aca="false">F31*Premissas!$D$13</f>
        <v>95379.9644766052</v>
      </c>
      <c r="I31" s="29" t="n">
        <f aca="false">F31-G31-H31</f>
        <v>13451.0206313161</v>
      </c>
      <c r="J31" s="29" t="n">
        <f aca="false">Premissas!$D$15+Premissas!$D$16</f>
        <v>11000</v>
      </c>
      <c r="K31" s="29" t="n">
        <f aca="false">I31-J31</f>
        <v>2451.02063131613</v>
      </c>
      <c r="L31" s="29" t="n">
        <f aca="false">K31</f>
        <v>2451.02063131613</v>
      </c>
      <c r="M31" s="29" t="n">
        <f aca="false">M30+L31</f>
        <v>-113619.391995007</v>
      </c>
      <c r="N31" s="27" t="n">
        <f aca="false">IF(M31&gt;=0,1,0)</f>
        <v>0</v>
      </c>
    </row>
    <row r="32" customFormat="false" ht="15" hidden="false" customHeight="false" outlineLevel="0" collapsed="false">
      <c r="A32" s="27" t="n">
        <f aca="false">A31+1</f>
        <v>27</v>
      </c>
      <c r="B32" s="28" t="n">
        <f aca="false">MIN(Premissas!$D$11,B31*(1-Premissas!$D$12)+IF(A32=1,Premissas!$D$9,Premissas!$D$10*Premissas!$B$26))</f>
        <v>22.6214373549592</v>
      </c>
      <c r="C32" s="28" t="n">
        <f aca="false">MAX(0,B32-B31*(1-Premissas!$D$12))</f>
        <v>1.5</v>
      </c>
      <c r="D32" s="29" t="n">
        <f aca="false">B32*Premissas!$D$7*Premissas!$B$27</f>
        <v>124417.905452276</v>
      </c>
      <c r="E32" s="29" t="n">
        <f aca="false">C32*Premissas!$D$8*Premissas!$B$27</f>
        <v>0</v>
      </c>
      <c r="F32" s="29" t="n">
        <f aca="false">D32+E32</f>
        <v>124417.905452276</v>
      </c>
      <c r="G32" s="29" t="n">
        <f aca="false">F32*Premissas!$D$14</f>
        <v>13685.9695997503</v>
      </c>
      <c r="H32" s="29" t="n">
        <f aca="false">F32*Premissas!$D$13</f>
        <v>97045.966252775</v>
      </c>
      <c r="I32" s="29" t="n">
        <f aca="false">F32-G32-H32</f>
        <v>13685.9695997503</v>
      </c>
      <c r="J32" s="29" t="n">
        <f aca="false">Premissas!$D$15+Premissas!$D$16</f>
        <v>11000</v>
      </c>
      <c r="K32" s="29" t="n">
        <f aca="false">I32-J32</f>
        <v>2685.96959975032</v>
      </c>
      <c r="L32" s="29" t="n">
        <f aca="false">K32</f>
        <v>2685.96959975032</v>
      </c>
      <c r="M32" s="29" t="n">
        <f aca="false">M31+L32</f>
        <v>-110933.422395256</v>
      </c>
      <c r="N32" s="27" t="n">
        <f aca="false">IF(M32&gt;=0,1,0)</f>
        <v>0</v>
      </c>
    </row>
    <row r="33" customFormat="false" ht="15" hidden="false" customHeight="false" outlineLevel="0" collapsed="false">
      <c r="A33" s="27" t="n">
        <f aca="false">A32+1</f>
        <v>28</v>
      </c>
      <c r="B33" s="28" t="n">
        <f aca="false">MIN(Premissas!$D$11,B32*(1-Premissas!$D$12)+IF(A33=1,Premissas!$D$9,Premissas!$D$10*Premissas!$B$26))</f>
        <v>22.9903654872112</v>
      </c>
      <c r="C33" s="28" t="n">
        <f aca="false">MAX(0,B33-B32*(1-Premissas!$D$12))</f>
        <v>1.5</v>
      </c>
      <c r="D33" s="29" t="n">
        <f aca="false">B33*Premissas!$D$7*Premissas!$B$27</f>
        <v>126447.010179662</v>
      </c>
      <c r="E33" s="29" t="n">
        <f aca="false">C33*Premissas!$D$8*Premissas!$B$27</f>
        <v>0</v>
      </c>
      <c r="F33" s="29" t="n">
        <f aca="false">D33+E33</f>
        <v>126447.010179662</v>
      </c>
      <c r="G33" s="29" t="n">
        <f aca="false">F33*Premissas!$D$14</f>
        <v>13909.1711197628</v>
      </c>
      <c r="H33" s="29" t="n">
        <f aca="false">F33*Premissas!$D$13</f>
        <v>98628.6679401362</v>
      </c>
      <c r="I33" s="29" t="n">
        <f aca="false">F33-G33-H33</f>
        <v>13909.1711197628</v>
      </c>
      <c r="J33" s="29" t="n">
        <f aca="false">Premissas!$D$15+Premissas!$D$16</f>
        <v>11000</v>
      </c>
      <c r="K33" s="29" t="n">
        <f aca="false">I33-J33</f>
        <v>2909.17111976279</v>
      </c>
      <c r="L33" s="29" t="n">
        <f aca="false">K33</f>
        <v>2909.17111976279</v>
      </c>
      <c r="M33" s="29" t="n">
        <f aca="false">M32+L33</f>
        <v>-108024.251275494</v>
      </c>
      <c r="N33" s="27" t="n">
        <f aca="false">IF(M33&gt;=0,1,0)</f>
        <v>0</v>
      </c>
    </row>
    <row r="34" customFormat="false" ht="15" hidden="false" customHeight="false" outlineLevel="0" collapsed="false">
      <c r="A34" s="27" t="n">
        <f aca="false">A33+1</f>
        <v>29</v>
      </c>
      <c r="B34" s="28" t="n">
        <f aca="false">MIN(Premissas!$D$11,B33*(1-Premissas!$D$12)+IF(A34=1,Premissas!$D$9,Premissas!$D$10*Premissas!$B$26))</f>
        <v>23.3408472128507</v>
      </c>
      <c r="C34" s="28" t="n">
        <f aca="false">MAX(0,B34-B33*(1-Premissas!$D$12))</f>
        <v>1.5</v>
      </c>
      <c r="D34" s="29" t="n">
        <f aca="false">B34*Premissas!$D$7*Premissas!$B$27</f>
        <v>128374.659670679</v>
      </c>
      <c r="E34" s="29" t="n">
        <f aca="false">C34*Premissas!$D$8*Premissas!$B$27</f>
        <v>0</v>
      </c>
      <c r="F34" s="29" t="n">
        <f aca="false">D34+E34</f>
        <v>128374.659670679</v>
      </c>
      <c r="G34" s="29" t="n">
        <f aca="false">F34*Premissas!$D$14</f>
        <v>14121.2125637747</v>
      </c>
      <c r="H34" s="29" t="n">
        <f aca="false">F34*Premissas!$D$13</f>
        <v>100132.234543129</v>
      </c>
      <c r="I34" s="29" t="n">
        <f aca="false">F34-G34-H34</f>
        <v>14121.2125637747</v>
      </c>
      <c r="J34" s="29" t="n">
        <f aca="false">Premissas!$D$15+Premissas!$D$16</f>
        <v>11000</v>
      </c>
      <c r="K34" s="29" t="n">
        <f aca="false">I34-J34</f>
        <v>3121.21256377465</v>
      </c>
      <c r="L34" s="29" t="n">
        <f aca="false">K34</f>
        <v>3121.21256377465</v>
      </c>
      <c r="M34" s="29" t="n">
        <f aca="false">M33+L34</f>
        <v>-104903.038711719</v>
      </c>
      <c r="N34" s="27" t="n">
        <f aca="false">IF(M34&gt;=0,1,0)</f>
        <v>0</v>
      </c>
    </row>
    <row r="35" customFormat="false" ht="15" hidden="false" customHeight="false" outlineLevel="0" collapsed="false">
      <c r="A35" s="27" t="n">
        <f aca="false">A34+1</f>
        <v>30</v>
      </c>
      <c r="B35" s="28" t="n">
        <f aca="false">MIN(Premissas!$D$11,B34*(1-Premissas!$D$12)+IF(A35=1,Premissas!$D$9,Premissas!$D$10*Premissas!$B$26))</f>
        <v>23.6738048522081</v>
      </c>
      <c r="C35" s="28" t="n">
        <f aca="false">MAX(0,B35-B34*(1-Premissas!$D$12))</f>
        <v>1.5</v>
      </c>
      <c r="D35" s="29" t="n">
        <f aca="false">B35*Premissas!$D$7*Premissas!$B$27</f>
        <v>130205.926687145</v>
      </c>
      <c r="E35" s="29" t="n">
        <f aca="false">C35*Premissas!$D$8*Premissas!$B$27</f>
        <v>0</v>
      </c>
      <c r="F35" s="29" t="n">
        <f aca="false">D35+E35</f>
        <v>130205.926687145</v>
      </c>
      <c r="G35" s="29" t="n">
        <f aca="false">F35*Premissas!$D$14</f>
        <v>14322.6519355859</v>
      </c>
      <c r="H35" s="29" t="n">
        <f aca="false">F35*Premissas!$D$13</f>
        <v>101560.622815973</v>
      </c>
      <c r="I35" s="29" t="n">
        <f aca="false">F35-G35-H35</f>
        <v>14322.6519355859</v>
      </c>
      <c r="J35" s="29" t="n">
        <f aca="false">Premissas!$D$15+Premissas!$D$16</f>
        <v>11000</v>
      </c>
      <c r="K35" s="29" t="n">
        <f aca="false">I35-J35</f>
        <v>3322.65193558593</v>
      </c>
      <c r="L35" s="29" t="n">
        <f aca="false">K35</f>
        <v>3322.65193558593</v>
      </c>
      <c r="M35" s="29" t="n">
        <f aca="false">M34+L35</f>
        <v>-101580.386776133</v>
      </c>
      <c r="N35" s="27" t="n">
        <f aca="false">IF(M35&gt;=0,1,0)</f>
        <v>0</v>
      </c>
    </row>
    <row r="36" customFormat="false" ht="15" hidden="false" customHeight="false" outlineLevel="0" collapsed="false">
      <c r="A36" s="27" t="n">
        <f aca="false">A35+1</f>
        <v>31</v>
      </c>
      <c r="B36" s="28" t="n">
        <f aca="false">MIN(Premissas!$D$11,B35*(1-Premissas!$D$12)+IF(A36=1,Premissas!$D$9,Premissas!$D$10*Premissas!$B$26))</f>
        <v>23.9901146095977</v>
      </c>
      <c r="C36" s="28" t="n">
        <f aca="false">MAX(0,B36-B35*(1-Premissas!$D$12))</f>
        <v>1.5</v>
      </c>
      <c r="D36" s="29" t="n">
        <f aca="false">B36*Premissas!$D$7*Premissas!$B$27</f>
        <v>131945.630352788</v>
      </c>
      <c r="E36" s="29" t="n">
        <f aca="false">C36*Premissas!$D$8*Premissas!$B$27</f>
        <v>0</v>
      </c>
      <c r="F36" s="29" t="n">
        <f aca="false">D36+E36</f>
        <v>131945.630352788</v>
      </c>
      <c r="G36" s="29" t="n">
        <f aca="false">F36*Premissas!$D$14</f>
        <v>14514.0193388066</v>
      </c>
      <c r="H36" s="29" t="n">
        <f aca="false">F36*Premissas!$D$13</f>
        <v>102917.591675174</v>
      </c>
      <c r="I36" s="29" t="n">
        <f aca="false">F36-G36-H36</f>
        <v>14514.0193388066</v>
      </c>
      <c r="J36" s="29" t="n">
        <f aca="false">Premissas!$D$15+Premissas!$D$16</f>
        <v>11000</v>
      </c>
      <c r="K36" s="29" t="n">
        <f aca="false">I36-J36</f>
        <v>3514.01933880664</v>
      </c>
      <c r="L36" s="29" t="n">
        <f aca="false">K36</f>
        <v>3514.01933880664</v>
      </c>
      <c r="M36" s="29" t="n">
        <f aca="false">M35+L36</f>
        <v>-98066.3674373263</v>
      </c>
      <c r="N36" s="27" t="n">
        <f aca="false">IF(M36&gt;=0,1,0)</f>
        <v>0</v>
      </c>
    </row>
    <row r="37" customFormat="false" ht="15" hidden="false" customHeight="false" outlineLevel="0" collapsed="false">
      <c r="A37" s="27" t="n">
        <f aca="false">A36+1</f>
        <v>32</v>
      </c>
      <c r="B37" s="28" t="n">
        <f aca="false">MIN(Premissas!$D$11,B36*(1-Premissas!$D$12)+IF(A37=1,Premissas!$D$9,Premissas!$D$10*Premissas!$B$26))</f>
        <v>24.2906088791178</v>
      </c>
      <c r="C37" s="28" t="n">
        <f aca="false">MAX(0,B37-B36*(1-Premissas!$D$12))</f>
        <v>1.5</v>
      </c>
      <c r="D37" s="29" t="n">
        <f aca="false">B37*Premissas!$D$7*Premissas!$B$27</f>
        <v>133598.348835148</v>
      </c>
      <c r="E37" s="29" t="n">
        <f aca="false">C37*Premissas!$D$8*Premissas!$B$27</f>
        <v>0</v>
      </c>
      <c r="F37" s="29" t="n">
        <f aca="false">D37+E37</f>
        <v>133598.348835148</v>
      </c>
      <c r="G37" s="29" t="n">
        <f aca="false">F37*Premissas!$D$14</f>
        <v>14695.8183718663</v>
      </c>
      <c r="H37" s="29" t="n">
        <f aca="false">F37*Premissas!$D$13</f>
        <v>104206.712091416</v>
      </c>
      <c r="I37" s="29" t="n">
        <f aca="false">F37-G37-H37</f>
        <v>14695.8183718663</v>
      </c>
      <c r="J37" s="29" t="n">
        <f aca="false">Premissas!$D$15+Premissas!$D$16</f>
        <v>11000</v>
      </c>
      <c r="K37" s="29" t="n">
        <f aca="false">I37-J37</f>
        <v>3695.81837186629</v>
      </c>
      <c r="L37" s="29" t="n">
        <f aca="false">K37</f>
        <v>3695.81837186629</v>
      </c>
      <c r="M37" s="29" t="n">
        <f aca="false">M36+L37</f>
        <v>-94370.54906546</v>
      </c>
      <c r="N37" s="27" t="n">
        <f aca="false">IF(M37&gt;=0,1,0)</f>
        <v>0</v>
      </c>
    </row>
    <row r="38" customFormat="false" ht="15" hidden="false" customHeight="false" outlineLevel="0" collapsed="false">
      <c r="A38" s="27" t="n">
        <f aca="false">A37+1</f>
        <v>33</v>
      </c>
      <c r="B38" s="28" t="n">
        <f aca="false">MIN(Premissas!$D$11,B37*(1-Premissas!$D$12)+IF(A38=1,Premissas!$D$9,Premissas!$D$10*Premissas!$B$26))</f>
        <v>24.576078435162</v>
      </c>
      <c r="C38" s="28" t="n">
        <f aca="false">MAX(0,B38-B37*(1-Premissas!$D$12))</f>
        <v>1.5</v>
      </c>
      <c r="D38" s="29" t="n">
        <f aca="false">B38*Premissas!$D$7*Premissas!$B$27</f>
        <v>135168.431393391</v>
      </c>
      <c r="E38" s="29" t="n">
        <f aca="false">C38*Premissas!$D$8*Premissas!$B$27</f>
        <v>0</v>
      </c>
      <c r="F38" s="29" t="n">
        <f aca="false">D38+E38</f>
        <v>135168.431393391</v>
      </c>
      <c r="G38" s="29" t="n">
        <f aca="false">F38*Premissas!$D$14</f>
        <v>14868.527453273</v>
      </c>
      <c r="H38" s="29" t="n">
        <f aca="false">F38*Premissas!$D$13</f>
        <v>105431.376486845</v>
      </c>
      <c r="I38" s="29" t="n">
        <f aca="false">F38-G38-H38</f>
        <v>14868.527453273</v>
      </c>
      <c r="J38" s="29" t="n">
        <f aca="false">Premissas!$D$15+Premissas!$D$16</f>
        <v>11000</v>
      </c>
      <c r="K38" s="29" t="n">
        <f aca="false">I38-J38</f>
        <v>3868.52745327298</v>
      </c>
      <c r="L38" s="29" t="n">
        <f aca="false">K38</f>
        <v>3868.52745327298</v>
      </c>
      <c r="M38" s="29" t="n">
        <f aca="false">M37+L38</f>
        <v>-90502.021612187</v>
      </c>
      <c r="N38" s="27" t="n">
        <f aca="false">IF(M38&gt;=0,1,0)</f>
        <v>0</v>
      </c>
    </row>
    <row r="39" customFormat="false" ht="15" hidden="false" customHeight="false" outlineLevel="0" collapsed="false">
      <c r="A39" s="27" t="n">
        <f aca="false">A38+1</f>
        <v>34</v>
      </c>
      <c r="B39" s="28" t="n">
        <f aca="false">MIN(Premissas!$D$11,B38*(1-Premissas!$D$12)+IF(A39=1,Premissas!$D$9,Premissas!$D$10*Premissas!$B$26))</f>
        <v>24.8472745134039</v>
      </c>
      <c r="C39" s="28" t="n">
        <f aca="false">MAX(0,B39-B38*(1-Premissas!$D$12))</f>
        <v>1.5</v>
      </c>
      <c r="D39" s="29" t="n">
        <f aca="false">B39*Premissas!$D$7*Premissas!$B$27</f>
        <v>136660.009823721</v>
      </c>
      <c r="E39" s="29" t="n">
        <f aca="false">C39*Premissas!$D$8*Premissas!$B$27</f>
        <v>0</v>
      </c>
      <c r="F39" s="29" t="n">
        <f aca="false">D39+E39</f>
        <v>136660.009823721</v>
      </c>
      <c r="G39" s="29" t="n">
        <f aca="false">F39*Premissas!$D$14</f>
        <v>15032.6010806093</v>
      </c>
      <c r="H39" s="29" t="n">
        <f aca="false">F39*Premissas!$D$13</f>
        <v>106594.807662503</v>
      </c>
      <c r="I39" s="29" t="n">
        <f aca="false">F39-G39-H39</f>
        <v>15032.6010806093</v>
      </c>
      <c r="J39" s="29" t="n">
        <f aca="false">Premissas!$D$15+Premissas!$D$16</f>
        <v>11000</v>
      </c>
      <c r="K39" s="29" t="n">
        <f aca="false">I39-J39</f>
        <v>4032.60108060934</v>
      </c>
      <c r="L39" s="29" t="n">
        <f aca="false">K39</f>
        <v>4032.60108060934</v>
      </c>
      <c r="M39" s="29" t="n">
        <f aca="false">M38+L39</f>
        <v>-86469.4205315777</v>
      </c>
      <c r="N39" s="27" t="n">
        <f aca="false">IF(M39&gt;=0,1,0)</f>
        <v>0</v>
      </c>
    </row>
    <row r="40" customFormat="false" ht="15" hidden="false" customHeight="false" outlineLevel="0" collapsed="false">
      <c r="A40" s="27" t="n">
        <f aca="false">A39+1</f>
        <v>35</v>
      </c>
      <c r="B40" s="28" t="n">
        <f aca="false">MIN(Premissas!$D$11,B39*(1-Premissas!$D$12)+IF(A40=1,Premissas!$D$9,Premissas!$D$10*Premissas!$B$26))</f>
        <v>25.1049107877337</v>
      </c>
      <c r="C40" s="28" t="n">
        <f aca="false">MAX(0,B40-B39*(1-Premissas!$D$12))</f>
        <v>1.5</v>
      </c>
      <c r="D40" s="29" t="n">
        <f aca="false">B40*Premissas!$D$7*Premissas!$B$27</f>
        <v>138077.009332535</v>
      </c>
      <c r="E40" s="29" t="n">
        <f aca="false">C40*Premissas!$D$8*Premissas!$B$27</f>
        <v>0</v>
      </c>
      <c r="F40" s="29" t="n">
        <f aca="false">D40+E40</f>
        <v>138077.009332535</v>
      </c>
      <c r="G40" s="29" t="n">
        <f aca="false">F40*Premissas!$D$14</f>
        <v>15188.4710265789</v>
      </c>
      <c r="H40" s="29" t="n">
        <f aca="false">F40*Premissas!$D$13</f>
        <v>107700.067279377</v>
      </c>
      <c r="I40" s="29" t="n">
        <f aca="false">F40-G40-H40</f>
        <v>15188.4710265789</v>
      </c>
      <c r="J40" s="29" t="n">
        <f aca="false">Premissas!$D$15+Premissas!$D$16</f>
        <v>11000</v>
      </c>
      <c r="K40" s="29" t="n">
        <f aca="false">I40-J40</f>
        <v>4188.47102657886</v>
      </c>
      <c r="L40" s="29" t="n">
        <f aca="false">K40</f>
        <v>4188.47102657886</v>
      </c>
      <c r="M40" s="29" t="n">
        <f aca="false">M39+L40</f>
        <v>-82280.9495049988</v>
      </c>
      <c r="N40" s="27" t="n">
        <f aca="false">IF(M40&gt;=0,1,0)</f>
        <v>0</v>
      </c>
    </row>
    <row r="41" customFormat="false" ht="15" hidden="false" customHeight="false" outlineLevel="0" collapsed="false">
      <c r="A41" s="31" t="n">
        <f aca="false">A40+1</f>
        <v>36</v>
      </c>
      <c r="B41" s="32" t="n">
        <f aca="false">MIN(Premissas!$D$11,B40*(1-Premissas!$D$12)+IF(A41=1,Premissas!$D$9,Premissas!$D$10*Premissas!$B$26))</f>
        <v>25.349665248347</v>
      </c>
      <c r="C41" s="32" t="n">
        <f aca="false">MAX(0,B41-B40*(1-Premissas!$D$12))</f>
        <v>1.5</v>
      </c>
      <c r="D41" s="33" t="n">
        <f aca="false">B41*Premissas!$D$7*Premissas!$B$27</f>
        <v>139423.158865908</v>
      </c>
      <c r="E41" s="33" t="n">
        <f aca="false">C41*Premissas!$D$8*Premissas!$B$27</f>
        <v>0</v>
      </c>
      <c r="F41" s="33" t="n">
        <f aca="false">D41+E41</f>
        <v>139423.158865908</v>
      </c>
      <c r="G41" s="33" t="n">
        <f aca="false">F41*Premissas!$D$14</f>
        <v>15336.5474752499</v>
      </c>
      <c r="H41" s="33" t="n">
        <f aca="false">F41*Premissas!$D$13</f>
        <v>108750.063915409</v>
      </c>
      <c r="I41" s="33" t="n">
        <f aca="false">F41-G41-H41</f>
        <v>15336.5474752499</v>
      </c>
      <c r="J41" s="33" t="n">
        <f aca="false">Premissas!$D$15+Premissas!$D$16</f>
        <v>11000</v>
      </c>
      <c r="K41" s="33" t="n">
        <f aca="false">I41-J41</f>
        <v>4336.54747524993</v>
      </c>
      <c r="L41" s="33" t="n">
        <f aca="false">K41</f>
        <v>4336.54747524993</v>
      </c>
      <c r="M41" s="33" t="n">
        <f aca="false">M40+L41</f>
        <v>-77944.4020297489</v>
      </c>
      <c r="N41" s="31" t="n">
        <f aca="false">IF(M41&gt;=0,1,0)</f>
        <v>0</v>
      </c>
    </row>
    <row r="43" customFormat="false" ht="15" hidden="false" customHeight="false" outlineLevel="0" collapsed="false">
      <c r="A43" s="15" t="s">
        <v>147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6" min="4" style="0" width="16"/>
    <col collapsed="false" customWidth="true" hidden="false" outlineLevel="0" max="7" min="7" style="0" width="14"/>
    <col collapsed="false" customWidth="true" hidden="false" outlineLevel="0" max="13" min="8" style="0" width="16"/>
    <col collapsed="false" customWidth="true" hidden="false" outlineLevel="0" max="14" min="14" style="0" width="12"/>
  </cols>
  <sheetData>
    <row r="1" customFormat="false" ht="17.35" hidden="false" customHeight="false" outlineLevel="0" collapsed="false">
      <c r="A1" s="1" t="s">
        <v>150</v>
      </c>
    </row>
    <row r="2" customFormat="false" ht="15" hidden="false" customHeight="false" outlineLevel="0" collapsed="false">
      <c r="A2" s="0" t="s">
        <v>33</v>
      </c>
      <c r="B2" s="5" t="str">
        <f aca="false">Premissas!$B$19</f>
        <v>Base</v>
      </c>
    </row>
    <row r="4" customFormat="false" ht="45" hidden="false" customHeight="true" outlineLevel="0" collapsed="false">
      <c r="A4" s="6" t="s">
        <v>133</v>
      </c>
      <c r="B4" s="6" t="s">
        <v>134</v>
      </c>
      <c r="C4" s="6" t="s">
        <v>135</v>
      </c>
      <c r="D4" s="6" t="s">
        <v>136</v>
      </c>
      <c r="E4" s="6" t="s">
        <v>137</v>
      </c>
      <c r="F4" s="6" t="s">
        <v>138</v>
      </c>
      <c r="G4" s="6" t="s">
        <v>139</v>
      </c>
      <c r="H4" s="6" t="s">
        <v>140</v>
      </c>
      <c r="I4" s="6" t="s">
        <v>141</v>
      </c>
      <c r="J4" s="6" t="s">
        <v>142</v>
      </c>
      <c r="K4" s="6" t="s">
        <v>143</v>
      </c>
      <c r="L4" s="6" t="s">
        <v>144</v>
      </c>
      <c r="M4" s="6" t="s">
        <v>145</v>
      </c>
      <c r="N4" s="6" t="s">
        <v>146</v>
      </c>
    </row>
    <row r="5" customFormat="false" ht="15" hidden="false" customHeight="false" outlineLevel="0" collapsed="false">
      <c r="A5" s="27" t="n">
        <v>0</v>
      </c>
      <c r="B5" s="28" t="n">
        <v>0</v>
      </c>
      <c r="C5" s="28" t="n">
        <v>0</v>
      </c>
      <c r="D5" s="29" t="n">
        <v>0</v>
      </c>
      <c r="E5" s="29" t="n">
        <v>0</v>
      </c>
      <c r="F5" s="29" t="n">
        <v>0</v>
      </c>
      <c r="G5" s="29" t="n">
        <v>0</v>
      </c>
      <c r="H5" s="29" t="n">
        <v>0</v>
      </c>
      <c r="I5" s="29" t="n">
        <v>0</v>
      </c>
      <c r="J5" s="29" t="n">
        <v>0</v>
      </c>
      <c r="K5" s="29" t="n">
        <v>0</v>
      </c>
      <c r="L5" s="30" t="n">
        <f aca="false">-Premissas!$E$6</f>
        <v>-250000</v>
      </c>
      <c r="M5" s="29" t="n">
        <f aca="false">L5</f>
        <v>-250000</v>
      </c>
      <c r="N5" s="27" t="n">
        <f aca="false">IF(M5&gt;=0,1,0)</f>
        <v>0</v>
      </c>
    </row>
    <row r="6" customFormat="false" ht="15" hidden="false" customHeight="false" outlineLevel="0" collapsed="false">
      <c r="A6" s="27" t="n">
        <f aca="false">A5+1</f>
        <v>1</v>
      </c>
      <c r="B6" s="28" t="n">
        <f aca="false">MIN(Premissas!$E$11,B5*(1-Premissas!$E$12)+IF(A6=1,Premissas!$E$9,Premissas!$E$10*Premissas!$B$26))</f>
        <v>20</v>
      </c>
      <c r="C6" s="28" t="n">
        <f aca="false">MAX(0,B6-B5*(1-Premissas!$E$12))</f>
        <v>20</v>
      </c>
      <c r="D6" s="29" t="n">
        <f aca="false">B6*Premissas!$E$7*Premissas!$B$27</f>
        <v>7000</v>
      </c>
      <c r="E6" s="29" t="n">
        <f aca="false">C6*Premissas!$E$8*Premissas!$B$27</f>
        <v>0</v>
      </c>
      <c r="F6" s="29" t="n">
        <f aca="false">D6+E6</f>
        <v>7000</v>
      </c>
      <c r="G6" s="29" t="n">
        <f aca="false">F6*Premissas!$E$14</f>
        <v>560</v>
      </c>
      <c r="H6" s="29" t="n">
        <f aca="false">F6*Premissas!$E$13</f>
        <v>3150</v>
      </c>
      <c r="I6" s="29" t="n">
        <f aca="false">F6-G6-H6</f>
        <v>3290</v>
      </c>
      <c r="J6" s="29" t="n">
        <f aca="false">Premissas!$E$15+Premissas!$E$16</f>
        <v>31000</v>
      </c>
      <c r="K6" s="29" t="n">
        <f aca="false">I6-J6</f>
        <v>-27710</v>
      </c>
      <c r="L6" s="29" t="n">
        <f aca="false">K6</f>
        <v>-27710</v>
      </c>
      <c r="M6" s="29" t="n">
        <f aca="false">M5+L6</f>
        <v>-277710</v>
      </c>
      <c r="N6" s="27" t="n">
        <f aca="false">IF(M6&gt;=0,1,0)</f>
        <v>0</v>
      </c>
    </row>
    <row r="7" customFormat="false" ht="15" hidden="false" customHeight="false" outlineLevel="0" collapsed="false">
      <c r="A7" s="27" t="n">
        <f aca="false">A6+1</f>
        <v>2</v>
      </c>
      <c r="B7" s="28" t="n">
        <f aca="false">MIN(Premissas!$E$11,B6*(1-Premissas!$E$12)+IF(A7=1,Premissas!$E$9,Premissas!$E$10*Premissas!$B$26))</f>
        <v>34.6</v>
      </c>
      <c r="C7" s="28" t="n">
        <f aca="false">MAX(0,B7-B6*(1-Premissas!$E$12))</f>
        <v>15</v>
      </c>
      <c r="D7" s="29" t="n">
        <f aca="false">B7*Premissas!$E$7*Premissas!$B$27</f>
        <v>12110</v>
      </c>
      <c r="E7" s="29" t="n">
        <f aca="false">C7*Premissas!$E$8*Premissas!$B$27</f>
        <v>0</v>
      </c>
      <c r="F7" s="29" t="n">
        <f aca="false">D7+E7</f>
        <v>12110</v>
      </c>
      <c r="G7" s="29" t="n">
        <f aca="false">F7*Premissas!$E$14</f>
        <v>968.8</v>
      </c>
      <c r="H7" s="29" t="n">
        <f aca="false">F7*Premissas!$E$13</f>
        <v>5449.5</v>
      </c>
      <c r="I7" s="29" t="n">
        <f aca="false">F7-G7-H7</f>
        <v>5691.7</v>
      </c>
      <c r="J7" s="29" t="n">
        <f aca="false">Premissas!$E$15+Premissas!$E$16</f>
        <v>31000</v>
      </c>
      <c r="K7" s="29" t="n">
        <f aca="false">I7-J7</f>
        <v>-25308.3</v>
      </c>
      <c r="L7" s="29" t="n">
        <f aca="false">K7</f>
        <v>-25308.3</v>
      </c>
      <c r="M7" s="29" t="n">
        <f aca="false">M6+L7</f>
        <v>-303018.3</v>
      </c>
      <c r="N7" s="27" t="n">
        <f aca="false">IF(M7&gt;=0,1,0)</f>
        <v>0</v>
      </c>
    </row>
    <row r="8" customFormat="false" ht="15" hidden="false" customHeight="false" outlineLevel="0" collapsed="false">
      <c r="A8" s="27" t="n">
        <f aca="false">A7+1</f>
        <v>3</v>
      </c>
      <c r="B8" s="28" t="n">
        <f aca="false">MIN(Premissas!$E$11,B7*(1-Premissas!$E$12)+IF(A8=1,Premissas!$E$9,Premissas!$E$10*Premissas!$B$26))</f>
        <v>48.908</v>
      </c>
      <c r="C8" s="28" t="n">
        <f aca="false">MAX(0,B8-B7*(1-Premissas!$E$12))</f>
        <v>15</v>
      </c>
      <c r="D8" s="29" t="n">
        <f aca="false">B8*Premissas!$E$7*Premissas!$B$27</f>
        <v>17117.8</v>
      </c>
      <c r="E8" s="29" t="n">
        <f aca="false">C8*Premissas!$E$8*Premissas!$B$27</f>
        <v>0</v>
      </c>
      <c r="F8" s="29" t="n">
        <f aca="false">D8+E8</f>
        <v>17117.8</v>
      </c>
      <c r="G8" s="29" t="n">
        <f aca="false">F8*Premissas!$E$14</f>
        <v>1369.424</v>
      </c>
      <c r="H8" s="29" t="n">
        <f aca="false">F8*Premissas!$E$13</f>
        <v>7703.01</v>
      </c>
      <c r="I8" s="29" t="n">
        <f aca="false">F8-G8-H8</f>
        <v>8045.366</v>
      </c>
      <c r="J8" s="29" t="n">
        <f aca="false">Premissas!$E$15+Premissas!$E$16</f>
        <v>31000</v>
      </c>
      <c r="K8" s="29" t="n">
        <f aca="false">I8-J8</f>
        <v>-22954.634</v>
      </c>
      <c r="L8" s="29" t="n">
        <f aca="false">K8</f>
        <v>-22954.634</v>
      </c>
      <c r="M8" s="29" t="n">
        <f aca="false">M7+L8</f>
        <v>-325972.934</v>
      </c>
      <c r="N8" s="27" t="n">
        <f aca="false">IF(M8&gt;=0,1,0)</f>
        <v>0</v>
      </c>
    </row>
    <row r="9" customFormat="false" ht="15" hidden="false" customHeight="false" outlineLevel="0" collapsed="false">
      <c r="A9" s="27" t="n">
        <f aca="false">A8+1</f>
        <v>4</v>
      </c>
      <c r="B9" s="28" t="n">
        <f aca="false">MIN(Premissas!$E$11,B8*(1-Premissas!$E$12)+IF(A9=1,Premissas!$E$9,Premissas!$E$10*Premissas!$B$26))</f>
        <v>62.92984</v>
      </c>
      <c r="C9" s="28" t="n">
        <f aca="false">MAX(0,B9-B8*(1-Premissas!$E$12))</f>
        <v>15</v>
      </c>
      <c r="D9" s="29" t="n">
        <f aca="false">B9*Premissas!$E$7*Premissas!$B$27</f>
        <v>22025.444</v>
      </c>
      <c r="E9" s="29" t="n">
        <f aca="false">C9*Premissas!$E$8*Premissas!$B$27</f>
        <v>0</v>
      </c>
      <c r="F9" s="29" t="n">
        <f aca="false">D9+E9</f>
        <v>22025.444</v>
      </c>
      <c r="G9" s="29" t="n">
        <f aca="false">F9*Premissas!$E$14</f>
        <v>1762.03552</v>
      </c>
      <c r="H9" s="29" t="n">
        <f aca="false">F9*Premissas!$E$13</f>
        <v>9911.4498</v>
      </c>
      <c r="I9" s="29" t="n">
        <f aca="false">F9-G9-H9</f>
        <v>10351.95868</v>
      </c>
      <c r="J9" s="29" t="n">
        <f aca="false">Premissas!$E$15+Premissas!$E$16</f>
        <v>31000</v>
      </c>
      <c r="K9" s="29" t="n">
        <f aca="false">I9-J9</f>
        <v>-20648.04132</v>
      </c>
      <c r="L9" s="29" t="n">
        <f aca="false">K9</f>
        <v>-20648.04132</v>
      </c>
      <c r="M9" s="29" t="n">
        <f aca="false">M8+L9</f>
        <v>-346620.97532</v>
      </c>
      <c r="N9" s="27" t="n">
        <f aca="false">IF(M9&gt;=0,1,0)</f>
        <v>0</v>
      </c>
    </row>
    <row r="10" customFormat="false" ht="15" hidden="false" customHeight="false" outlineLevel="0" collapsed="false">
      <c r="A10" s="27" t="n">
        <f aca="false">A9+1</f>
        <v>5</v>
      </c>
      <c r="B10" s="28" t="n">
        <f aca="false">MIN(Premissas!$E$11,B9*(1-Premissas!$E$12)+IF(A10=1,Premissas!$E$9,Premissas!$E$10*Premissas!$B$26))</f>
        <v>76.6712432</v>
      </c>
      <c r="C10" s="28" t="n">
        <f aca="false">MAX(0,B10-B9*(1-Premissas!$E$12))</f>
        <v>15</v>
      </c>
      <c r="D10" s="29" t="n">
        <f aca="false">B10*Premissas!$E$7*Premissas!$B$27</f>
        <v>26834.93512</v>
      </c>
      <c r="E10" s="29" t="n">
        <f aca="false">C10*Premissas!$E$8*Premissas!$B$27</f>
        <v>0</v>
      </c>
      <c r="F10" s="29" t="n">
        <f aca="false">D10+E10</f>
        <v>26834.93512</v>
      </c>
      <c r="G10" s="29" t="n">
        <f aca="false">F10*Premissas!$E$14</f>
        <v>2146.7948096</v>
      </c>
      <c r="H10" s="29" t="n">
        <f aca="false">F10*Premissas!$E$13</f>
        <v>12075.720804</v>
      </c>
      <c r="I10" s="29" t="n">
        <f aca="false">F10-G10-H10</f>
        <v>12612.4195064</v>
      </c>
      <c r="J10" s="29" t="n">
        <f aca="false">Premissas!$E$15+Premissas!$E$16</f>
        <v>31000</v>
      </c>
      <c r="K10" s="29" t="n">
        <f aca="false">I10-J10</f>
        <v>-18387.5804936</v>
      </c>
      <c r="L10" s="29" t="n">
        <f aca="false">K10</f>
        <v>-18387.5804936</v>
      </c>
      <c r="M10" s="29" t="n">
        <f aca="false">M9+L10</f>
        <v>-365008.5558136</v>
      </c>
      <c r="N10" s="27" t="n">
        <f aca="false">IF(M10&gt;=0,1,0)</f>
        <v>0</v>
      </c>
    </row>
    <row r="11" customFormat="false" ht="15" hidden="false" customHeight="false" outlineLevel="0" collapsed="false">
      <c r="A11" s="27" t="n">
        <f aca="false">A10+1</f>
        <v>6</v>
      </c>
      <c r="B11" s="28" t="n">
        <f aca="false">MIN(Premissas!$E$11,B10*(1-Premissas!$E$12)+IF(A11=1,Premissas!$E$9,Premissas!$E$10*Premissas!$B$26))</f>
        <v>90.137818336</v>
      </c>
      <c r="C11" s="28" t="n">
        <f aca="false">MAX(0,B11-B10*(1-Premissas!$E$12))</f>
        <v>15</v>
      </c>
      <c r="D11" s="29" t="n">
        <f aca="false">B11*Premissas!$E$7*Premissas!$B$27</f>
        <v>31548.2364176</v>
      </c>
      <c r="E11" s="29" t="n">
        <f aca="false">C11*Premissas!$E$8*Premissas!$B$27</f>
        <v>0</v>
      </c>
      <c r="F11" s="29" t="n">
        <f aca="false">D11+E11</f>
        <v>31548.2364176</v>
      </c>
      <c r="G11" s="29" t="n">
        <f aca="false">F11*Premissas!$E$14</f>
        <v>2523.858913408</v>
      </c>
      <c r="H11" s="29" t="n">
        <f aca="false">F11*Premissas!$E$13</f>
        <v>14196.70638792</v>
      </c>
      <c r="I11" s="29" t="n">
        <f aca="false">F11-G11-H11</f>
        <v>14827.671116272</v>
      </c>
      <c r="J11" s="29" t="n">
        <f aca="false">Premissas!$E$15+Premissas!$E$16</f>
        <v>31000</v>
      </c>
      <c r="K11" s="29" t="n">
        <f aca="false">I11-J11</f>
        <v>-16172.328883728</v>
      </c>
      <c r="L11" s="29" t="n">
        <f aca="false">K11</f>
        <v>-16172.328883728</v>
      </c>
      <c r="M11" s="29" t="n">
        <f aca="false">M10+L11</f>
        <v>-381180.884697328</v>
      </c>
      <c r="N11" s="27" t="n">
        <f aca="false">IF(M11&gt;=0,1,0)</f>
        <v>0</v>
      </c>
    </row>
    <row r="12" customFormat="false" ht="15" hidden="false" customHeight="false" outlineLevel="0" collapsed="false">
      <c r="A12" s="27" t="n">
        <f aca="false">A11+1</f>
        <v>7</v>
      </c>
      <c r="B12" s="28" t="n">
        <f aca="false">MIN(Premissas!$E$11,B11*(1-Premissas!$E$12)+IF(A12=1,Premissas!$E$9,Premissas!$E$10*Premissas!$B$26))</f>
        <v>103.33506196928</v>
      </c>
      <c r="C12" s="28" t="n">
        <f aca="false">MAX(0,B12-B11*(1-Premissas!$E$12))</f>
        <v>15</v>
      </c>
      <c r="D12" s="29" t="n">
        <f aca="false">B12*Premissas!$E$7*Premissas!$B$27</f>
        <v>36167.271689248</v>
      </c>
      <c r="E12" s="29" t="n">
        <f aca="false">C12*Premissas!$E$8*Premissas!$B$27</f>
        <v>0</v>
      </c>
      <c r="F12" s="29" t="n">
        <f aca="false">D12+E12</f>
        <v>36167.271689248</v>
      </c>
      <c r="G12" s="29" t="n">
        <f aca="false">F12*Premissas!$E$14</f>
        <v>2893.38173513984</v>
      </c>
      <c r="H12" s="29" t="n">
        <f aca="false">F12*Premissas!$E$13</f>
        <v>16275.2722601616</v>
      </c>
      <c r="I12" s="29" t="n">
        <f aca="false">F12-G12-H12</f>
        <v>16998.6176939466</v>
      </c>
      <c r="J12" s="29" t="n">
        <f aca="false">Premissas!$E$15+Premissas!$E$16</f>
        <v>31000</v>
      </c>
      <c r="K12" s="29" t="n">
        <f aca="false">I12-J12</f>
        <v>-14001.3823060534</v>
      </c>
      <c r="L12" s="29" t="n">
        <f aca="false">K12</f>
        <v>-14001.3823060534</v>
      </c>
      <c r="M12" s="29" t="n">
        <f aca="false">M11+L12</f>
        <v>-395182.267003381</v>
      </c>
      <c r="N12" s="27" t="n">
        <f aca="false">IF(M12&gt;=0,1,0)</f>
        <v>0</v>
      </c>
    </row>
    <row r="13" customFormat="false" ht="15" hidden="false" customHeight="false" outlineLevel="0" collapsed="false">
      <c r="A13" s="27" t="n">
        <f aca="false">A12+1</f>
        <v>8</v>
      </c>
      <c r="B13" s="28" t="n">
        <f aca="false">MIN(Premissas!$E$11,B12*(1-Premissas!$E$12)+IF(A13=1,Premissas!$E$9,Premissas!$E$10*Premissas!$B$26))</f>
        <v>116.268360729894</v>
      </c>
      <c r="C13" s="28" t="n">
        <f aca="false">MAX(0,B13-B12*(1-Premissas!$E$12))</f>
        <v>15</v>
      </c>
      <c r="D13" s="29" t="n">
        <f aca="false">B13*Premissas!$E$7*Premissas!$B$27</f>
        <v>40693.926255463</v>
      </c>
      <c r="E13" s="29" t="n">
        <f aca="false">C13*Premissas!$E$8*Premissas!$B$27</f>
        <v>0</v>
      </c>
      <c r="F13" s="29" t="n">
        <f aca="false">D13+E13</f>
        <v>40693.926255463</v>
      </c>
      <c r="G13" s="29" t="n">
        <f aca="false">F13*Premissas!$E$14</f>
        <v>3255.51410043704</v>
      </c>
      <c r="H13" s="29" t="n">
        <f aca="false">F13*Premissas!$E$13</f>
        <v>18312.2668149584</v>
      </c>
      <c r="I13" s="29" t="n">
        <f aca="false">F13-G13-H13</f>
        <v>19126.1453400676</v>
      </c>
      <c r="J13" s="29" t="n">
        <f aca="false">Premissas!$E$15+Premissas!$E$16</f>
        <v>31000</v>
      </c>
      <c r="K13" s="29" t="n">
        <f aca="false">I13-J13</f>
        <v>-11873.8546599324</v>
      </c>
      <c r="L13" s="29" t="n">
        <f aca="false">K13</f>
        <v>-11873.8546599324</v>
      </c>
      <c r="M13" s="29" t="n">
        <f aca="false">M12+L13</f>
        <v>-407056.121663314</v>
      </c>
      <c r="N13" s="27" t="n">
        <f aca="false">IF(M13&gt;=0,1,0)</f>
        <v>0</v>
      </c>
    </row>
    <row r="14" customFormat="false" ht="15" hidden="false" customHeight="false" outlineLevel="0" collapsed="false">
      <c r="A14" s="27" t="n">
        <f aca="false">A13+1</f>
        <v>9</v>
      </c>
      <c r="B14" s="28" t="n">
        <f aca="false">MIN(Premissas!$E$11,B13*(1-Premissas!$E$12)+IF(A14=1,Premissas!$E$9,Premissas!$E$10*Premissas!$B$26))</f>
        <v>128.942993515297</v>
      </c>
      <c r="C14" s="28" t="n">
        <f aca="false">MAX(0,B14-B13*(1-Premissas!$E$12))</f>
        <v>15</v>
      </c>
      <c r="D14" s="29" t="n">
        <f aca="false">B14*Premissas!$E$7*Premissas!$B$27</f>
        <v>45130.0477303538</v>
      </c>
      <c r="E14" s="29" t="n">
        <f aca="false">C14*Premissas!$E$8*Premissas!$B$27</f>
        <v>0</v>
      </c>
      <c r="F14" s="29" t="n">
        <f aca="false">D14+E14</f>
        <v>45130.0477303538</v>
      </c>
      <c r="G14" s="29" t="n">
        <f aca="false">F14*Premissas!$E$14</f>
        <v>3610.4038184283</v>
      </c>
      <c r="H14" s="29" t="n">
        <f aca="false">F14*Premissas!$E$13</f>
        <v>20308.5214786592</v>
      </c>
      <c r="I14" s="29" t="n">
        <f aca="false">F14-G14-H14</f>
        <v>21211.1224332663</v>
      </c>
      <c r="J14" s="29" t="n">
        <f aca="false">Premissas!$E$15+Premissas!$E$16</f>
        <v>31000</v>
      </c>
      <c r="K14" s="29" t="n">
        <f aca="false">I14-J14</f>
        <v>-9788.87756673373</v>
      </c>
      <c r="L14" s="29" t="n">
        <f aca="false">K14</f>
        <v>-9788.87756673373</v>
      </c>
      <c r="M14" s="29" t="n">
        <f aca="false">M13+L14</f>
        <v>-416844.999230048</v>
      </c>
      <c r="N14" s="27" t="n">
        <f aca="false">IF(M14&gt;=0,1,0)</f>
        <v>0</v>
      </c>
    </row>
    <row r="15" customFormat="false" ht="15" hidden="false" customHeight="false" outlineLevel="0" collapsed="false">
      <c r="A15" s="27" t="n">
        <f aca="false">A14+1</f>
        <v>10</v>
      </c>
      <c r="B15" s="28" t="n">
        <f aca="false">MIN(Premissas!$E$11,B14*(1-Premissas!$E$12)+IF(A15=1,Premissas!$E$9,Premissas!$E$10*Premissas!$B$26))</f>
        <v>141.364133644991</v>
      </c>
      <c r="C15" s="28" t="n">
        <f aca="false">MAX(0,B15-B14*(1-Premissas!$E$12))</f>
        <v>15</v>
      </c>
      <c r="D15" s="29" t="n">
        <f aca="false">B15*Premissas!$E$7*Premissas!$B$27</f>
        <v>49477.4467757467</v>
      </c>
      <c r="E15" s="29" t="n">
        <f aca="false">C15*Premissas!$E$8*Premissas!$B$27</f>
        <v>0</v>
      </c>
      <c r="F15" s="29" t="n">
        <f aca="false">D15+E15</f>
        <v>49477.4467757467</v>
      </c>
      <c r="G15" s="29" t="n">
        <f aca="false">F15*Premissas!$E$14</f>
        <v>3958.19574205974</v>
      </c>
      <c r="H15" s="29" t="n">
        <f aca="false">F15*Premissas!$E$13</f>
        <v>22264.851049086</v>
      </c>
      <c r="I15" s="29" t="n">
        <f aca="false">F15-G15-H15</f>
        <v>23254.3999846009</v>
      </c>
      <c r="J15" s="29" t="n">
        <f aca="false">Premissas!$E$15+Premissas!$E$16</f>
        <v>31000</v>
      </c>
      <c r="K15" s="29" t="n">
        <f aca="false">I15-J15</f>
        <v>-7745.60001539905</v>
      </c>
      <c r="L15" s="29" t="n">
        <f aca="false">K15</f>
        <v>-7745.60001539905</v>
      </c>
      <c r="M15" s="29" t="n">
        <f aca="false">M14+L15</f>
        <v>-424590.599245447</v>
      </c>
      <c r="N15" s="27" t="n">
        <f aca="false">IF(M15&gt;=0,1,0)</f>
        <v>0</v>
      </c>
    </row>
    <row r="16" customFormat="false" ht="15" hidden="false" customHeight="false" outlineLevel="0" collapsed="false">
      <c r="A16" s="27" t="n">
        <f aca="false">A15+1</f>
        <v>11</v>
      </c>
      <c r="B16" s="28" t="n">
        <f aca="false">MIN(Premissas!$E$11,B15*(1-Premissas!$E$12)+IF(A16=1,Premissas!$E$9,Premissas!$E$10*Premissas!$B$26))</f>
        <v>153.536850972091</v>
      </c>
      <c r="C16" s="28" t="n">
        <f aca="false">MAX(0,B16-B15*(1-Premissas!$E$12))</f>
        <v>15</v>
      </c>
      <c r="D16" s="29" t="n">
        <f aca="false">B16*Premissas!$E$7*Premissas!$B$27</f>
        <v>53737.8978402318</v>
      </c>
      <c r="E16" s="29" t="n">
        <f aca="false">C16*Premissas!$E$8*Premissas!$B$27</f>
        <v>0</v>
      </c>
      <c r="F16" s="29" t="n">
        <f aca="false">D16+E16</f>
        <v>53737.8978402318</v>
      </c>
      <c r="G16" s="29" t="n">
        <f aca="false">F16*Premissas!$E$14</f>
        <v>4299.03182721854</v>
      </c>
      <c r="H16" s="29" t="n">
        <f aca="false">F16*Premissas!$E$13</f>
        <v>24182.0540281043</v>
      </c>
      <c r="I16" s="29" t="n">
        <f aca="false">F16-G16-H16</f>
        <v>25256.8119849089</v>
      </c>
      <c r="J16" s="29" t="n">
        <f aca="false">Premissas!$E$15+Premissas!$E$16</f>
        <v>31000</v>
      </c>
      <c r="K16" s="29" t="n">
        <f aca="false">I16-J16</f>
        <v>-5743.18801509107</v>
      </c>
      <c r="L16" s="29" t="n">
        <f aca="false">K16</f>
        <v>-5743.18801509107</v>
      </c>
      <c r="M16" s="29" t="n">
        <f aca="false">M15+L16</f>
        <v>-430333.787260538</v>
      </c>
      <c r="N16" s="27" t="n">
        <f aca="false">IF(M16&gt;=0,1,0)</f>
        <v>0</v>
      </c>
    </row>
    <row r="17" customFormat="false" ht="15" hidden="false" customHeight="false" outlineLevel="0" collapsed="false">
      <c r="A17" s="31" t="n">
        <f aca="false">A16+1</f>
        <v>12</v>
      </c>
      <c r="B17" s="32" t="n">
        <f aca="false">MIN(Premissas!$E$11,B16*(1-Premissas!$E$12)+IF(A17=1,Premissas!$E$9,Premissas!$E$10*Premissas!$B$26))</f>
        <v>165.466113952649</v>
      </c>
      <c r="C17" s="32" t="n">
        <f aca="false">MAX(0,B17-B16*(1-Premissas!$E$12))</f>
        <v>15</v>
      </c>
      <c r="D17" s="33" t="n">
        <f aca="false">B17*Premissas!$E$7*Premissas!$B$27</f>
        <v>57913.1398834271</v>
      </c>
      <c r="E17" s="33" t="n">
        <f aca="false">C17*Premissas!$E$8*Premissas!$B$27</f>
        <v>0</v>
      </c>
      <c r="F17" s="33" t="n">
        <f aca="false">D17+E17</f>
        <v>57913.1398834271</v>
      </c>
      <c r="G17" s="33" t="n">
        <f aca="false">F17*Premissas!$E$14</f>
        <v>4633.05119067417</v>
      </c>
      <c r="H17" s="33" t="n">
        <f aca="false">F17*Premissas!$E$13</f>
        <v>26060.9129475422</v>
      </c>
      <c r="I17" s="33" t="n">
        <f aca="false">F17-G17-H17</f>
        <v>27219.1757452107</v>
      </c>
      <c r="J17" s="33" t="n">
        <f aca="false">Premissas!$E$15+Premissas!$E$16</f>
        <v>31000</v>
      </c>
      <c r="K17" s="33" t="n">
        <f aca="false">I17-J17</f>
        <v>-3780.82425478926</v>
      </c>
      <c r="L17" s="33" t="n">
        <f aca="false">K17</f>
        <v>-3780.82425478926</v>
      </c>
      <c r="M17" s="33" t="n">
        <f aca="false">M16+L17</f>
        <v>-434114.611515327</v>
      </c>
      <c r="N17" s="31" t="n">
        <f aca="false">IF(M17&gt;=0,1,0)</f>
        <v>0</v>
      </c>
    </row>
    <row r="18" customFormat="false" ht="15" hidden="false" customHeight="false" outlineLevel="0" collapsed="false">
      <c r="A18" s="27" t="n">
        <f aca="false">A17+1</f>
        <v>13</v>
      </c>
      <c r="B18" s="28" t="n">
        <f aca="false">MIN(Premissas!$E$11,B17*(1-Premissas!$E$12)+IF(A18=1,Premissas!$E$9,Premissas!$E$10*Premissas!$B$26))</f>
        <v>177.156791673596</v>
      </c>
      <c r="C18" s="28" t="n">
        <f aca="false">MAX(0,B18-B17*(1-Premissas!$E$12))</f>
        <v>15</v>
      </c>
      <c r="D18" s="29" t="n">
        <f aca="false">B18*Premissas!$E$7*Premissas!$B$27</f>
        <v>62004.8770857586</v>
      </c>
      <c r="E18" s="29" t="n">
        <f aca="false">C18*Premissas!$E$8*Premissas!$B$27</f>
        <v>0</v>
      </c>
      <c r="F18" s="29" t="n">
        <f aca="false">D18+E18</f>
        <v>62004.8770857586</v>
      </c>
      <c r="G18" s="29" t="n">
        <f aca="false">F18*Premissas!$E$14</f>
        <v>4960.39016686069</v>
      </c>
      <c r="H18" s="29" t="n">
        <f aca="false">F18*Premissas!$E$13</f>
        <v>27902.1946885914</v>
      </c>
      <c r="I18" s="29" t="n">
        <f aca="false">F18-G18-H18</f>
        <v>29142.2922303065</v>
      </c>
      <c r="J18" s="29" t="n">
        <f aca="false">Premissas!$E$15+Premissas!$E$16</f>
        <v>31000</v>
      </c>
      <c r="K18" s="29" t="n">
        <f aca="false">I18-J18</f>
        <v>-1857.70776969347</v>
      </c>
      <c r="L18" s="29" t="n">
        <f aca="false">K18</f>
        <v>-1857.70776969347</v>
      </c>
      <c r="M18" s="29" t="n">
        <f aca="false">M17+L18</f>
        <v>-435972.31928502</v>
      </c>
      <c r="N18" s="27" t="n">
        <f aca="false">IF(M18&gt;=0,1,0)</f>
        <v>0</v>
      </c>
    </row>
    <row r="19" customFormat="false" ht="15" hidden="false" customHeight="false" outlineLevel="0" collapsed="false">
      <c r="A19" s="27" t="n">
        <f aca="false">A18+1</f>
        <v>14</v>
      </c>
      <c r="B19" s="28" t="n">
        <f aca="false">MIN(Premissas!$E$11,B18*(1-Premissas!$E$12)+IF(A19=1,Premissas!$E$9,Premissas!$E$10*Premissas!$B$26))</f>
        <v>188.613655840124</v>
      </c>
      <c r="C19" s="28" t="n">
        <f aca="false">MAX(0,B19-B18*(1-Premissas!$E$12))</f>
        <v>15</v>
      </c>
      <c r="D19" s="29" t="n">
        <f aca="false">B19*Premissas!$E$7*Premissas!$B$27</f>
        <v>66014.7795440434</v>
      </c>
      <c r="E19" s="29" t="n">
        <f aca="false">C19*Premissas!$E$8*Premissas!$B$27</f>
        <v>0</v>
      </c>
      <c r="F19" s="29" t="n">
        <f aca="false">D19+E19</f>
        <v>66014.7795440434</v>
      </c>
      <c r="G19" s="29" t="n">
        <f aca="false">F19*Premissas!$E$14</f>
        <v>5281.18236352347</v>
      </c>
      <c r="H19" s="29" t="n">
        <f aca="false">F19*Premissas!$E$13</f>
        <v>29706.6507948195</v>
      </c>
      <c r="I19" s="29" t="n">
        <f aca="false">F19-G19-H19</f>
        <v>31026.9463857004</v>
      </c>
      <c r="J19" s="29" t="n">
        <f aca="false">Premissas!$E$15+Premissas!$E$16</f>
        <v>31000</v>
      </c>
      <c r="K19" s="29" t="n">
        <f aca="false">I19-J19</f>
        <v>26.9463857003939</v>
      </c>
      <c r="L19" s="29" t="n">
        <f aca="false">K19</f>
        <v>26.9463857003939</v>
      </c>
      <c r="M19" s="29" t="n">
        <f aca="false">M18+L19</f>
        <v>-435945.37289932</v>
      </c>
      <c r="N19" s="27" t="n">
        <f aca="false">IF(M19&gt;=0,1,0)</f>
        <v>0</v>
      </c>
    </row>
    <row r="20" customFormat="false" ht="15" hidden="false" customHeight="false" outlineLevel="0" collapsed="false">
      <c r="A20" s="27" t="n">
        <f aca="false">A19+1</f>
        <v>15</v>
      </c>
      <c r="B20" s="28" t="n">
        <f aca="false">MIN(Premissas!$E$11,B19*(1-Premissas!$E$12)+IF(A20=1,Premissas!$E$9,Premissas!$E$10*Premissas!$B$26))</f>
        <v>199.841382723322</v>
      </c>
      <c r="C20" s="28" t="n">
        <f aca="false">MAX(0,B20-B19*(1-Premissas!$E$12))</f>
        <v>15</v>
      </c>
      <c r="D20" s="29" t="n">
        <f aca="false">B20*Premissas!$E$7*Premissas!$B$27</f>
        <v>69944.4839531625</v>
      </c>
      <c r="E20" s="29" t="n">
        <f aca="false">C20*Premissas!$E$8*Premissas!$B$27</f>
        <v>0</v>
      </c>
      <c r="F20" s="29" t="n">
        <f aca="false">D20+E20</f>
        <v>69944.4839531625</v>
      </c>
      <c r="G20" s="29" t="n">
        <f aca="false">F20*Premissas!$E$14</f>
        <v>5595.558716253</v>
      </c>
      <c r="H20" s="29" t="n">
        <f aca="false">F20*Premissas!$E$13</f>
        <v>31475.0177789231</v>
      </c>
      <c r="I20" s="29" t="n">
        <f aca="false">F20-G20-H20</f>
        <v>32873.9074579864</v>
      </c>
      <c r="J20" s="29" t="n">
        <f aca="false">Premissas!$E$15+Premissas!$E$16</f>
        <v>31000</v>
      </c>
      <c r="K20" s="29" t="n">
        <f aca="false">I20-J20</f>
        <v>1873.9074579864</v>
      </c>
      <c r="L20" s="29" t="n">
        <f aca="false">K20</f>
        <v>1873.9074579864</v>
      </c>
      <c r="M20" s="29" t="n">
        <f aca="false">M19+L20</f>
        <v>-434071.465441334</v>
      </c>
      <c r="N20" s="27" t="n">
        <f aca="false">IF(M20&gt;=0,1,0)</f>
        <v>0</v>
      </c>
    </row>
    <row r="21" customFormat="false" ht="15" hidden="false" customHeight="false" outlineLevel="0" collapsed="false">
      <c r="A21" s="27" t="n">
        <f aca="false">A20+1</f>
        <v>16</v>
      </c>
      <c r="B21" s="28" t="n">
        <f aca="false">MIN(Premissas!$E$11,B20*(1-Premissas!$E$12)+IF(A21=1,Premissas!$E$9,Premissas!$E$10*Premissas!$B$26))</f>
        <v>210.844555068855</v>
      </c>
      <c r="C21" s="28" t="n">
        <f aca="false">MAX(0,B21-B20*(1-Premissas!$E$12))</f>
        <v>15</v>
      </c>
      <c r="D21" s="29" t="n">
        <f aca="false">B21*Premissas!$E$7*Premissas!$B$27</f>
        <v>73795.5942740993</v>
      </c>
      <c r="E21" s="29" t="n">
        <f aca="false">C21*Premissas!$E$8*Premissas!$B$27</f>
        <v>0</v>
      </c>
      <c r="F21" s="29" t="n">
        <f aca="false">D21+E21</f>
        <v>73795.5942740993</v>
      </c>
      <c r="G21" s="29" t="n">
        <f aca="false">F21*Premissas!$E$14</f>
        <v>5903.64754192794</v>
      </c>
      <c r="H21" s="29" t="n">
        <f aca="false">F21*Premissas!$E$13</f>
        <v>33208.0174233447</v>
      </c>
      <c r="I21" s="29" t="n">
        <f aca="false">F21-G21-H21</f>
        <v>34683.9293088267</v>
      </c>
      <c r="J21" s="29" t="n">
        <f aca="false">Premissas!$E$15+Premissas!$E$16</f>
        <v>31000</v>
      </c>
      <c r="K21" s="29" t="n">
        <f aca="false">I21-J21</f>
        <v>3683.92930882666</v>
      </c>
      <c r="L21" s="29" t="n">
        <f aca="false">K21</f>
        <v>3683.92930882666</v>
      </c>
      <c r="M21" s="29" t="n">
        <f aca="false">M20+L21</f>
        <v>-430387.536132507</v>
      </c>
      <c r="N21" s="27" t="n">
        <f aca="false">IF(M21&gt;=0,1,0)</f>
        <v>0</v>
      </c>
    </row>
    <row r="22" customFormat="false" ht="15" hidden="false" customHeight="false" outlineLevel="0" collapsed="false">
      <c r="A22" s="27" t="n">
        <f aca="false">A21+1</f>
        <v>17</v>
      </c>
      <c r="B22" s="28" t="n">
        <f aca="false">MIN(Premissas!$E$11,B21*(1-Premissas!$E$12)+IF(A22=1,Premissas!$E$9,Premissas!$E$10*Premissas!$B$26))</f>
        <v>221.627663967478</v>
      </c>
      <c r="C22" s="28" t="n">
        <f aca="false">MAX(0,B22-B21*(1-Premissas!$E$12))</f>
        <v>15</v>
      </c>
      <c r="D22" s="29" t="n">
        <f aca="false">B22*Premissas!$E$7*Premissas!$B$27</f>
        <v>77569.6823886173</v>
      </c>
      <c r="E22" s="29" t="n">
        <f aca="false">C22*Premissas!$E$8*Premissas!$B$27</f>
        <v>0</v>
      </c>
      <c r="F22" s="29" t="n">
        <f aca="false">D22+E22</f>
        <v>77569.6823886173</v>
      </c>
      <c r="G22" s="29" t="n">
        <f aca="false">F22*Premissas!$E$14</f>
        <v>6205.57459108938</v>
      </c>
      <c r="H22" s="29" t="n">
        <f aca="false">F22*Premissas!$E$13</f>
        <v>34906.3570748778</v>
      </c>
      <c r="I22" s="29" t="n">
        <f aca="false">F22-G22-H22</f>
        <v>36457.7507226501</v>
      </c>
      <c r="J22" s="29" t="n">
        <f aca="false">Premissas!$E$15+Premissas!$E$16</f>
        <v>31000</v>
      </c>
      <c r="K22" s="29" t="n">
        <f aca="false">I22-J22</f>
        <v>5457.75072265011</v>
      </c>
      <c r="L22" s="29" t="n">
        <f aca="false">K22</f>
        <v>5457.75072265011</v>
      </c>
      <c r="M22" s="29" t="n">
        <f aca="false">M21+L22</f>
        <v>-424929.785409857</v>
      </c>
      <c r="N22" s="27" t="n">
        <f aca="false">IF(M22&gt;=0,1,0)</f>
        <v>0</v>
      </c>
    </row>
    <row r="23" customFormat="false" ht="15" hidden="false" customHeight="false" outlineLevel="0" collapsed="false">
      <c r="A23" s="27" t="n">
        <f aca="false">A22+1</f>
        <v>18</v>
      </c>
      <c r="B23" s="28" t="n">
        <f aca="false">MIN(Premissas!$E$11,B22*(1-Premissas!$E$12)+IF(A23=1,Premissas!$E$9,Premissas!$E$10*Premissas!$B$26))</f>
        <v>232.195110688128</v>
      </c>
      <c r="C23" s="28" t="n">
        <f aca="false">MAX(0,B23-B22*(1-Premissas!$E$12))</f>
        <v>15</v>
      </c>
      <c r="D23" s="29" t="n">
        <f aca="false">B23*Premissas!$E$7*Premissas!$B$27</f>
        <v>81268.2887408449</v>
      </c>
      <c r="E23" s="29" t="n">
        <f aca="false">C23*Premissas!$E$8*Premissas!$B$27</f>
        <v>0</v>
      </c>
      <c r="F23" s="29" t="n">
        <f aca="false">D23+E23</f>
        <v>81268.2887408449</v>
      </c>
      <c r="G23" s="29" t="n">
        <f aca="false">F23*Premissas!$E$14</f>
        <v>6501.4630992676</v>
      </c>
      <c r="H23" s="29" t="n">
        <f aca="false">F23*Premissas!$E$13</f>
        <v>36570.7299333802</v>
      </c>
      <c r="I23" s="29" t="n">
        <f aca="false">F23-G23-H23</f>
        <v>38196.0957081971</v>
      </c>
      <c r="J23" s="29" t="n">
        <f aca="false">Premissas!$E$15+Premissas!$E$16</f>
        <v>31000</v>
      </c>
      <c r="K23" s="29" t="n">
        <f aca="false">I23-J23</f>
        <v>7196.09570819711</v>
      </c>
      <c r="L23" s="29" t="n">
        <f aca="false">K23</f>
        <v>7196.09570819711</v>
      </c>
      <c r="M23" s="29" t="n">
        <f aca="false">M22+L23</f>
        <v>-417733.68970166</v>
      </c>
      <c r="N23" s="27" t="n">
        <f aca="false">IF(M23&gt;=0,1,0)</f>
        <v>0</v>
      </c>
    </row>
    <row r="24" customFormat="false" ht="15" hidden="false" customHeight="false" outlineLevel="0" collapsed="false">
      <c r="A24" s="27" t="n">
        <f aca="false">A23+1</f>
        <v>19</v>
      </c>
      <c r="B24" s="28" t="n">
        <f aca="false">MIN(Premissas!$E$11,B23*(1-Premissas!$E$12)+IF(A24=1,Premissas!$E$9,Premissas!$E$10*Premissas!$B$26))</f>
        <v>242.551208474366</v>
      </c>
      <c r="C24" s="28" t="n">
        <f aca="false">MAX(0,B24-B23*(1-Premissas!$E$12))</f>
        <v>15</v>
      </c>
      <c r="D24" s="29" t="n">
        <f aca="false">B24*Premissas!$E$7*Premissas!$B$27</f>
        <v>84892.922966028</v>
      </c>
      <c r="E24" s="29" t="n">
        <f aca="false">C24*Premissas!$E$8*Premissas!$B$27</f>
        <v>0</v>
      </c>
      <c r="F24" s="29" t="n">
        <f aca="false">D24+E24</f>
        <v>84892.922966028</v>
      </c>
      <c r="G24" s="29" t="n">
        <f aca="false">F24*Premissas!$E$14</f>
        <v>6791.43383728224</v>
      </c>
      <c r="H24" s="29" t="n">
        <f aca="false">F24*Premissas!$E$13</f>
        <v>38201.8153347126</v>
      </c>
      <c r="I24" s="29" t="n">
        <f aca="false">F24-G24-H24</f>
        <v>39899.6737940332</v>
      </c>
      <c r="J24" s="29" t="n">
        <f aca="false">Premissas!$E$15+Premissas!$E$16</f>
        <v>31000</v>
      </c>
      <c r="K24" s="29" t="n">
        <f aca="false">I24-J24</f>
        <v>8899.67379403318</v>
      </c>
      <c r="L24" s="29" t="n">
        <f aca="false">K24</f>
        <v>8899.67379403318</v>
      </c>
      <c r="M24" s="29" t="n">
        <f aca="false">M23+L24</f>
        <v>-408834.015907627</v>
      </c>
      <c r="N24" s="27" t="n">
        <f aca="false">IF(M24&gt;=0,1,0)</f>
        <v>0</v>
      </c>
    </row>
    <row r="25" customFormat="false" ht="15" hidden="false" customHeight="false" outlineLevel="0" collapsed="false">
      <c r="A25" s="27" t="n">
        <f aca="false">A24+1</f>
        <v>20</v>
      </c>
      <c r="B25" s="28" t="n">
        <f aca="false">MIN(Premissas!$E$11,B24*(1-Premissas!$E$12)+IF(A25=1,Premissas!$E$9,Premissas!$E$10*Premissas!$B$26))</f>
        <v>252.700184304879</v>
      </c>
      <c r="C25" s="28" t="n">
        <f aca="false">MAX(0,B25-B24*(1-Premissas!$E$12))</f>
        <v>15</v>
      </c>
      <c r="D25" s="29" t="n">
        <f aca="false">B25*Premissas!$E$7*Premissas!$B$27</f>
        <v>88445.0645067075</v>
      </c>
      <c r="E25" s="29" t="n">
        <f aca="false">C25*Premissas!$E$8*Premissas!$B$27</f>
        <v>0</v>
      </c>
      <c r="F25" s="29" t="n">
        <f aca="false">D25+E25</f>
        <v>88445.0645067075</v>
      </c>
      <c r="G25" s="29" t="n">
        <f aca="false">F25*Premissas!$E$14</f>
        <v>7075.6051605366</v>
      </c>
      <c r="H25" s="29" t="n">
        <f aca="false">F25*Premissas!$E$13</f>
        <v>39800.2790280184</v>
      </c>
      <c r="I25" s="29" t="n">
        <f aca="false">F25-G25-H25</f>
        <v>41569.1803181525</v>
      </c>
      <c r="J25" s="29" t="n">
        <f aca="false">Premissas!$E$15+Premissas!$E$16</f>
        <v>31000</v>
      </c>
      <c r="K25" s="29" t="n">
        <f aca="false">I25-J25</f>
        <v>10569.1803181525</v>
      </c>
      <c r="L25" s="29" t="n">
        <f aca="false">K25</f>
        <v>10569.1803181525</v>
      </c>
      <c r="M25" s="29" t="n">
        <f aca="false">M24+L25</f>
        <v>-398264.835589474</v>
      </c>
      <c r="N25" s="27" t="n">
        <f aca="false">IF(M25&gt;=0,1,0)</f>
        <v>0</v>
      </c>
    </row>
    <row r="26" customFormat="false" ht="15" hidden="false" customHeight="false" outlineLevel="0" collapsed="false">
      <c r="A26" s="27" t="n">
        <f aca="false">A25+1</f>
        <v>21</v>
      </c>
      <c r="B26" s="28" t="n">
        <f aca="false">MIN(Premissas!$E$11,B25*(1-Premissas!$E$12)+IF(A26=1,Premissas!$E$9,Premissas!$E$10*Premissas!$B$26))</f>
        <v>262.646180618781</v>
      </c>
      <c r="C26" s="28" t="n">
        <f aca="false">MAX(0,B26-B25*(1-Premissas!$E$12))</f>
        <v>15</v>
      </c>
      <c r="D26" s="29" t="n">
        <f aca="false">B26*Premissas!$E$7*Premissas!$B$27</f>
        <v>91926.1632165733</v>
      </c>
      <c r="E26" s="29" t="n">
        <f aca="false">C26*Premissas!$E$8*Premissas!$B$27</f>
        <v>0</v>
      </c>
      <c r="F26" s="29" t="n">
        <f aca="false">D26+E26</f>
        <v>91926.1632165733</v>
      </c>
      <c r="G26" s="29" t="n">
        <f aca="false">F26*Premissas!$E$14</f>
        <v>7354.09305732587</v>
      </c>
      <c r="H26" s="29" t="n">
        <f aca="false">F26*Premissas!$E$13</f>
        <v>41366.773447458</v>
      </c>
      <c r="I26" s="29" t="n">
        <f aca="false">F26-G26-H26</f>
        <v>43205.2967117895</v>
      </c>
      <c r="J26" s="29" t="n">
        <f aca="false">Premissas!$E$15+Premissas!$E$16</f>
        <v>31000</v>
      </c>
      <c r="K26" s="29" t="n">
        <f aca="false">I26-J26</f>
        <v>12205.2967117895</v>
      </c>
      <c r="L26" s="29" t="n">
        <f aca="false">K26</f>
        <v>12205.2967117895</v>
      </c>
      <c r="M26" s="29" t="n">
        <f aca="false">M25+L26</f>
        <v>-386059.538877685</v>
      </c>
      <c r="N26" s="27" t="n">
        <f aca="false">IF(M26&gt;=0,1,0)</f>
        <v>0</v>
      </c>
    </row>
    <row r="27" customFormat="false" ht="15" hidden="false" customHeight="false" outlineLevel="0" collapsed="false">
      <c r="A27" s="27" t="n">
        <f aca="false">A26+1</f>
        <v>22</v>
      </c>
      <c r="B27" s="28" t="n">
        <f aca="false">MIN(Premissas!$E$11,B26*(1-Premissas!$E$12)+IF(A27=1,Premissas!$E$9,Premissas!$E$10*Premissas!$B$26))</f>
        <v>272.393257006405</v>
      </c>
      <c r="C27" s="28" t="n">
        <f aca="false">MAX(0,B27-B26*(1-Premissas!$E$12))</f>
        <v>15</v>
      </c>
      <c r="D27" s="29" t="n">
        <f aca="false">B27*Premissas!$E$7*Premissas!$B$27</f>
        <v>95337.6399522419</v>
      </c>
      <c r="E27" s="29" t="n">
        <f aca="false">C27*Premissas!$E$8*Premissas!$B$27</f>
        <v>0</v>
      </c>
      <c r="F27" s="29" t="n">
        <f aca="false">D27+E27</f>
        <v>95337.6399522419</v>
      </c>
      <c r="G27" s="29" t="n">
        <f aca="false">F27*Premissas!$E$14</f>
        <v>7627.01119617935</v>
      </c>
      <c r="H27" s="29" t="n">
        <f aca="false">F27*Premissas!$E$13</f>
        <v>42901.9379785088</v>
      </c>
      <c r="I27" s="29" t="n">
        <f aca="false">F27-G27-H27</f>
        <v>44808.6907775537</v>
      </c>
      <c r="J27" s="29" t="n">
        <f aca="false">Premissas!$E$15+Premissas!$E$16</f>
        <v>31000</v>
      </c>
      <c r="K27" s="29" t="n">
        <f aca="false">I27-J27</f>
        <v>13808.6907775537</v>
      </c>
      <c r="L27" s="29" t="n">
        <f aca="false">K27</f>
        <v>13808.6907775537</v>
      </c>
      <c r="M27" s="29" t="n">
        <f aca="false">M26+L27</f>
        <v>-372250.848100131</v>
      </c>
      <c r="N27" s="27" t="n">
        <f aca="false">IF(M27&gt;=0,1,0)</f>
        <v>0</v>
      </c>
    </row>
    <row r="28" customFormat="false" ht="15" hidden="false" customHeight="false" outlineLevel="0" collapsed="false">
      <c r="A28" s="27" t="n">
        <f aca="false">A27+1</f>
        <v>23</v>
      </c>
      <c r="B28" s="28" t="n">
        <f aca="false">MIN(Premissas!$E$11,B27*(1-Premissas!$E$12)+IF(A28=1,Premissas!$E$9,Premissas!$E$10*Premissas!$B$26))</f>
        <v>281.945391866277</v>
      </c>
      <c r="C28" s="28" t="n">
        <f aca="false">MAX(0,B28-B27*(1-Premissas!$E$12))</f>
        <v>15</v>
      </c>
      <c r="D28" s="29" t="n">
        <f aca="false">B28*Premissas!$E$7*Premissas!$B$27</f>
        <v>98680.887153197</v>
      </c>
      <c r="E28" s="29" t="n">
        <f aca="false">C28*Premissas!$E$8*Premissas!$B$27</f>
        <v>0</v>
      </c>
      <c r="F28" s="29" t="n">
        <f aca="false">D28+E28</f>
        <v>98680.887153197</v>
      </c>
      <c r="G28" s="29" t="n">
        <f aca="false">F28*Premissas!$E$14</f>
        <v>7894.47097225576</v>
      </c>
      <c r="H28" s="29" t="n">
        <f aca="false">F28*Premissas!$E$13</f>
        <v>44406.3992189387</v>
      </c>
      <c r="I28" s="29" t="n">
        <f aca="false">F28-G28-H28</f>
        <v>46380.0169620026</v>
      </c>
      <c r="J28" s="29" t="n">
        <f aca="false">Premissas!$E$15+Premissas!$E$16</f>
        <v>31000</v>
      </c>
      <c r="K28" s="29" t="n">
        <f aca="false">I28-J28</f>
        <v>15380.0169620026</v>
      </c>
      <c r="L28" s="29" t="n">
        <f aca="false">K28</f>
        <v>15380.0169620026</v>
      </c>
      <c r="M28" s="29" t="n">
        <f aca="false">M27+L28</f>
        <v>-356870.831138128</v>
      </c>
      <c r="N28" s="27" t="n">
        <f aca="false">IF(M28&gt;=0,1,0)</f>
        <v>0</v>
      </c>
    </row>
    <row r="29" customFormat="false" ht="15" hidden="false" customHeight="false" outlineLevel="0" collapsed="false">
      <c r="A29" s="31" t="n">
        <f aca="false">A28+1</f>
        <v>24</v>
      </c>
      <c r="B29" s="32" t="n">
        <f aca="false">MIN(Premissas!$E$11,B28*(1-Premissas!$E$12)+IF(A29=1,Premissas!$E$9,Premissas!$E$10*Premissas!$B$26))</f>
        <v>291.306484028952</v>
      </c>
      <c r="C29" s="32" t="n">
        <f aca="false">MAX(0,B29-B28*(1-Premissas!$E$12))</f>
        <v>15</v>
      </c>
      <c r="D29" s="33" t="n">
        <f aca="false">B29*Premissas!$E$7*Premissas!$B$27</f>
        <v>101957.269410133</v>
      </c>
      <c r="E29" s="33" t="n">
        <f aca="false">C29*Premissas!$E$8*Premissas!$B$27</f>
        <v>0</v>
      </c>
      <c r="F29" s="33" t="n">
        <f aca="false">D29+E29</f>
        <v>101957.269410133</v>
      </c>
      <c r="G29" s="33" t="n">
        <f aca="false">F29*Premissas!$E$14</f>
        <v>8156.58155281065</v>
      </c>
      <c r="H29" s="33" t="n">
        <f aca="false">F29*Premissas!$E$13</f>
        <v>45880.7712345599</v>
      </c>
      <c r="I29" s="33" t="n">
        <f aca="false">F29-G29-H29</f>
        <v>47919.9166227625</v>
      </c>
      <c r="J29" s="33" t="n">
        <f aca="false">Premissas!$E$15+Premissas!$E$16</f>
        <v>31000</v>
      </c>
      <c r="K29" s="33" t="n">
        <f aca="false">I29-J29</f>
        <v>16919.9166227625</v>
      </c>
      <c r="L29" s="33" t="n">
        <f aca="false">K29</f>
        <v>16919.9166227625</v>
      </c>
      <c r="M29" s="33" t="n">
        <f aca="false">M28+L29</f>
        <v>-339950.914515366</v>
      </c>
      <c r="N29" s="31" t="n">
        <f aca="false">IF(M29&gt;=0,1,0)</f>
        <v>0</v>
      </c>
    </row>
    <row r="30" customFormat="false" ht="15" hidden="false" customHeight="false" outlineLevel="0" collapsed="false">
      <c r="A30" s="27" t="n">
        <f aca="false">A29+1</f>
        <v>25</v>
      </c>
      <c r="B30" s="28" t="n">
        <f aca="false">MIN(Premissas!$E$11,B29*(1-Premissas!$E$12)+IF(A30=1,Premissas!$E$9,Premissas!$E$10*Premissas!$B$26))</f>
        <v>300</v>
      </c>
      <c r="C30" s="28" t="n">
        <f aca="false">MAX(0,B30-B29*(1-Premissas!$E$12))</f>
        <v>14.5196456516274</v>
      </c>
      <c r="D30" s="29" t="n">
        <f aca="false">B30*Premissas!$E$7*Premissas!$B$27</f>
        <v>105000</v>
      </c>
      <c r="E30" s="29" t="n">
        <f aca="false">C30*Premissas!$E$8*Premissas!$B$27</f>
        <v>0</v>
      </c>
      <c r="F30" s="29" t="n">
        <f aca="false">D30+E30</f>
        <v>105000</v>
      </c>
      <c r="G30" s="29" t="n">
        <f aca="false">F30*Premissas!$E$14</f>
        <v>8400</v>
      </c>
      <c r="H30" s="29" t="n">
        <f aca="false">F30*Premissas!$E$13</f>
        <v>47250</v>
      </c>
      <c r="I30" s="29" t="n">
        <f aca="false">F30-G30-H30</f>
        <v>49350</v>
      </c>
      <c r="J30" s="29" t="n">
        <f aca="false">Premissas!$E$15+Premissas!$E$16</f>
        <v>31000</v>
      </c>
      <c r="K30" s="29" t="n">
        <f aca="false">I30-J30</f>
        <v>18350</v>
      </c>
      <c r="L30" s="29" t="n">
        <f aca="false">K30</f>
        <v>18350</v>
      </c>
      <c r="M30" s="29" t="n">
        <f aca="false">M29+L30</f>
        <v>-321600.914515366</v>
      </c>
      <c r="N30" s="27" t="n">
        <f aca="false">IF(M30&gt;=0,1,0)</f>
        <v>0</v>
      </c>
    </row>
    <row r="31" customFormat="false" ht="15" hidden="false" customHeight="false" outlineLevel="0" collapsed="false">
      <c r="A31" s="27" t="n">
        <f aca="false">A30+1</f>
        <v>26</v>
      </c>
      <c r="B31" s="28" t="n">
        <f aca="false">MIN(Premissas!$E$11,B30*(1-Premissas!$E$12)+IF(A31=1,Premissas!$E$9,Premissas!$E$10*Premissas!$B$26))</f>
        <v>300</v>
      </c>
      <c r="C31" s="28" t="n">
        <f aca="false">MAX(0,B31-B30*(1-Premissas!$E$12))</f>
        <v>6</v>
      </c>
      <c r="D31" s="29" t="n">
        <f aca="false">B31*Premissas!$E$7*Premissas!$B$27</f>
        <v>105000</v>
      </c>
      <c r="E31" s="29" t="n">
        <f aca="false">C31*Premissas!$E$8*Premissas!$B$27</f>
        <v>0</v>
      </c>
      <c r="F31" s="29" t="n">
        <f aca="false">D31+E31</f>
        <v>105000</v>
      </c>
      <c r="G31" s="29" t="n">
        <f aca="false">F31*Premissas!$E$14</f>
        <v>8400</v>
      </c>
      <c r="H31" s="29" t="n">
        <f aca="false">F31*Premissas!$E$13</f>
        <v>47250</v>
      </c>
      <c r="I31" s="29" t="n">
        <f aca="false">F31-G31-H31</f>
        <v>49350</v>
      </c>
      <c r="J31" s="29" t="n">
        <f aca="false">Premissas!$E$15+Premissas!$E$16</f>
        <v>31000</v>
      </c>
      <c r="K31" s="29" t="n">
        <f aca="false">I31-J31</f>
        <v>18350</v>
      </c>
      <c r="L31" s="29" t="n">
        <f aca="false">K31</f>
        <v>18350</v>
      </c>
      <c r="M31" s="29" t="n">
        <f aca="false">M30+L31</f>
        <v>-303250.914515366</v>
      </c>
      <c r="N31" s="27" t="n">
        <f aca="false">IF(M31&gt;=0,1,0)</f>
        <v>0</v>
      </c>
    </row>
    <row r="32" customFormat="false" ht="15" hidden="false" customHeight="false" outlineLevel="0" collapsed="false">
      <c r="A32" s="27" t="n">
        <f aca="false">A31+1</f>
        <v>27</v>
      </c>
      <c r="B32" s="28" t="n">
        <f aca="false">MIN(Premissas!$E$11,B31*(1-Premissas!$E$12)+IF(A32=1,Premissas!$E$9,Premissas!$E$10*Premissas!$B$26))</f>
        <v>300</v>
      </c>
      <c r="C32" s="28" t="n">
        <f aca="false">MAX(0,B32-B31*(1-Premissas!$E$12))</f>
        <v>6</v>
      </c>
      <c r="D32" s="29" t="n">
        <f aca="false">B32*Premissas!$E$7*Premissas!$B$27</f>
        <v>105000</v>
      </c>
      <c r="E32" s="29" t="n">
        <f aca="false">C32*Premissas!$E$8*Premissas!$B$27</f>
        <v>0</v>
      </c>
      <c r="F32" s="29" t="n">
        <f aca="false">D32+E32</f>
        <v>105000</v>
      </c>
      <c r="G32" s="29" t="n">
        <f aca="false">F32*Premissas!$E$14</f>
        <v>8400</v>
      </c>
      <c r="H32" s="29" t="n">
        <f aca="false">F32*Premissas!$E$13</f>
        <v>47250</v>
      </c>
      <c r="I32" s="29" t="n">
        <f aca="false">F32-G32-H32</f>
        <v>49350</v>
      </c>
      <c r="J32" s="29" t="n">
        <f aca="false">Premissas!$E$15+Premissas!$E$16</f>
        <v>31000</v>
      </c>
      <c r="K32" s="29" t="n">
        <f aca="false">I32-J32</f>
        <v>18350</v>
      </c>
      <c r="L32" s="29" t="n">
        <f aca="false">K32</f>
        <v>18350</v>
      </c>
      <c r="M32" s="29" t="n">
        <f aca="false">M31+L32</f>
        <v>-284900.914515366</v>
      </c>
      <c r="N32" s="27" t="n">
        <f aca="false">IF(M32&gt;=0,1,0)</f>
        <v>0</v>
      </c>
    </row>
    <row r="33" customFormat="false" ht="15" hidden="false" customHeight="false" outlineLevel="0" collapsed="false">
      <c r="A33" s="27" t="n">
        <f aca="false">A32+1</f>
        <v>28</v>
      </c>
      <c r="B33" s="28" t="n">
        <f aca="false">MIN(Premissas!$E$11,B32*(1-Premissas!$E$12)+IF(A33=1,Premissas!$E$9,Premissas!$E$10*Premissas!$B$26))</f>
        <v>300</v>
      </c>
      <c r="C33" s="28" t="n">
        <f aca="false">MAX(0,B33-B32*(1-Premissas!$E$12))</f>
        <v>6</v>
      </c>
      <c r="D33" s="29" t="n">
        <f aca="false">B33*Premissas!$E$7*Premissas!$B$27</f>
        <v>105000</v>
      </c>
      <c r="E33" s="29" t="n">
        <f aca="false">C33*Premissas!$E$8*Premissas!$B$27</f>
        <v>0</v>
      </c>
      <c r="F33" s="29" t="n">
        <f aca="false">D33+E33</f>
        <v>105000</v>
      </c>
      <c r="G33" s="29" t="n">
        <f aca="false">F33*Premissas!$E$14</f>
        <v>8400</v>
      </c>
      <c r="H33" s="29" t="n">
        <f aca="false">F33*Premissas!$E$13</f>
        <v>47250</v>
      </c>
      <c r="I33" s="29" t="n">
        <f aca="false">F33-G33-H33</f>
        <v>49350</v>
      </c>
      <c r="J33" s="29" t="n">
        <f aca="false">Premissas!$E$15+Premissas!$E$16</f>
        <v>31000</v>
      </c>
      <c r="K33" s="29" t="n">
        <f aca="false">I33-J33</f>
        <v>18350</v>
      </c>
      <c r="L33" s="29" t="n">
        <f aca="false">K33</f>
        <v>18350</v>
      </c>
      <c r="M33" s="29" t="n">
        <f aca="false">M32+L33</f>
        <v>-266550.914515366</v>
      </c>
      <c r="N33" s="27" t="n">
        <f aca="false">IF(M33&gt;=0,1,0)</f>
        <v>0</v>
      </c>
    </row>
    <row r="34" customFormat="false" ht="15" hidden="false" customHeight="false" outlineLevel="0" collapsed="false">
      <c r="A34" s="27" t="n">
        <f aca="false">A33+1</f>
        <v>29</v>
      </c>
      <c r="B34" s="28" t="n">
        <f aca="false">MIN(Premissas!$E$11,B33*(1-Premissas!$E$12)+IF(A34=1,Premissas!$E$9,Premissas!$E$10*Premissas!$B$26))</f>
        <v>300</v>
      </c>
      <c r="C34" s="28" t="n">
        <f aca="false">MAX(0,B34-B33*(1-Premissas!$E$12))</f>
        <v>6</v>
      </c>
      <c r="D34" s="29" t="n">
        <f aca="false">B34*Premissas!$E$7*Premissas!$B$27</f>
        <v>105000</v>
      </c>
      <c r="E34" s="29" t="n">
        <f aca="false">C34*Premissas!$E$8*Premissas!$B$27</f>
        <v>0</v>
      </c>
      <c r="F34" s="29" t="n">
        <f aca="false">D34+E34</f>
        <v>105000</v>
      </c>
      <c r="G34" s="29" t="n">
        <f aca="false">F34*Premissas!$E$14</f>
        <v>8400</v>
      </c>
      <c r="H34" s="29" t="n">
        <f aca="false">F34*Premissas!$E$13</f>
        <v>47250</v>
      </c>
      <c r="I34" s="29" t="n">
        <f aca="false">F34-G34-H34</f>
        <v>49350</v>
      </c>
      <c r="J34" s="29" t="n">
        <f aca="false">Premissas!$E$15+Premissas!$E$16</f>
        <v>31000</v>
      </c>
      <c r="K34" s="29" t="n">
        <f aca="false">I34-J34</f>
        <v>18350</v>
      </c>
      <c r="L34" s="29" t="n">
        <f aca="false">K34</f>
        <v>18350</v>
      </c>
      <c r="M34" s="29" t="n">
        <f aca="false">M33+L34</f>
        <v>-248200.914515366</v>
      </c>
      <c r="N34" s="27" t="n">
        <f aca="false">IF(M34&gt;=0,1,0)</f>
        <v>0</v>
      </c>
    </row>
    <row r="35" customFormat="false" ht="15" hidden="false" customHeight="false" outlineLevel="0" collapsed="false">
      <c r="A35" s="27" t="n">
        <f aca="false">A34+1</f>
        <v>30</v>
      </c>
      <c r="B35" s="28" t="n">
        <f aca="false">MIN(Premissas!$E$11,B34*(1-Premissas!$E$12)+IF(A35=1,Premissas!$E$9,Premissas!$E$10*Premissas!$B$26))</f>
        <v>300</v>
      </c>
      <c r="C35" s="28" t="n">
        <f aca="false">MAX(0,B35-B34*(1-Premissas!$E$12))</f>
        <v>6</v>
      </c>
      <c r="D35" s="29" t="n">
        <f aca="false">B35*Premissas!$E$7*Premissas!$B$27</f>
        <v>105000</v>
      </c>
      <c r="E35" s="29" t="n">
        <f aca="false">C35*Premissas!$E$8*Premissas!$B$27</f>
        <v>0</v>
      </c>
      <c r="F35" s="29" t="n">
        <f aca="false">D35+E35</f>
        <v>105000</v>
      </c>
      <c r="G35" s="29" t="n">
        <f aca="false">F35*Premissas!$E$14</f>
        <v>8400</v>
      </c>
      <c r="H35" s="29" t="n">
        <f aca="false">F35*Premissas!$E$13</f>
        <v>47250</v>
      </c>
      <c r="I35" s="29" t="n">
        <f aca="false">F35-G35-H35</f>
        <v>49350</v>
      </c>
      <c r="J35" s="29" t="n">
        <f aca="false">Premissas!$E$15+Premissas!$E$16</f>
        <v>31000</v>
      </c>
      <c r="K35" s="29" t="n">
        <f aca="false">I35-J35</f>
        <v>18350</v>
      </c>
      <c r="L35" s="29" t="n">
        <f aca="false">K35</f>
        <v>18350</v>
      </c>
      <c r="M35" s="29" t="n">
        <f aca="false">M34+L35</f>
        <v>-229850.914515366</v>
      </c>
      <c r="N35" s="27" t="n">
        <f aca="false">IF(M35&gt;=0,1,0)</f>
        <v>0</v>
      </c>
    </row>
    <row r="36" customFormat="false" ht="15" hidden="false" customHeight="false" outlineLevel="0" collapsed="false">
      <c r="A36" s="27" t="n">
        <f aca="false">A35+1</f>
        <v>31</v>
      </c>
      <c r="B36" s="28" t="n">
        <f aca="false">MIN(Premissas!$E$11,B35*(1-Premissas!$E$12)+IF(A36=1,Premissas!$E$9,Premissas!$E$10*Premissas!$B$26))</f>
        <v>300</v>
      </c>
      <c r="C36" s="28" t="n">
        <f aca="false">MAX(0,B36-B35*(1-Premissas!$E$12))</f>
        <v>6</v>
      </c>
      <c r="D36" s="29" t="n">
        <f aca="false">B36*Premissas!$E$7*Premissas!$B$27</f>
        <v>105000</v>
      </c>
      <c r="E36" s="29" t="n">
        <f aca="false">C36*Premissas!$E$8*Premissas!$B$27</f>
        <v>0</v>
      </c>
      <c r="F36" s="29" t="n">
        <f aca="false">D36+E36</f>
        <v>105000</v>
      </c>
      <c r="G36" s="29" t="n">
        <f aca="false">F36*Premissas!$E$14</f>
        <v>8400</v>
      </c>
      <c r="H36" s="29" t="n">
        <f aca="false">F36*Premissas!$E$13</f>
        <v>47250</v>
      </c>
      <c r="I36" s="29" t="n">
        <f aca="false">F36-G36-H36</f>
        <v>49350</v>
      </c>
      <c r="J36" s="29" t="n">
        <f aca="false">Premissas!$E$15+Premissas!$E$16</f>
        <v>31000</v>
      </c>
      <c r="K36" s="29" t="n">
        <f aca="false">I36-J36</f>
        <v>18350</v>
      </c>
      <c r="L36" s="29" t="n">
        <f aca="false">K36</f>
        <v>18350</v>
      </c>
      <c r="M36" s="29" t="n">
        <f aca="false">M35+L36</f>
        <v>-211500.914515366</v>
      </c>
      <c r="N36" s="27" t="n">
        <f aca="false">IF(M36&gt;=0,1,0)</f>
        <v>0</v>
      </c>
    </row>
    <row r="37" customFormat="false" ht="15" hidden="false" customHeight="false" outlineLevel="0" collapsed="false">
      <c r="A37" s="27" t="n">
        <f aca="false">A36+1</f>
        <v>32</v>
      </c>
      <c r="B37" s="28" t="n">
        <f aca="false">MIN(Premissas!$E$11,B36*(1-Premissas!$E$12)+IF(A37=1,Premissas!$E$9,Premissas!$E$10*Premissas!$B$26))</f>
        <v>300</v>
      </c>
      <c r="C37" s="28" t="n">
        <f aca="false">MAX(0,B37-B36*(1-Premissas!$E$12))</f>
        <v>6</v>
      </c>
      <c r="D37" s="29" t="n">
        <f aca="false">B37*Premissas!$E$7*Premissas!$B$27</f>
        <v>105000</v>
      </c>
      <c r="E37" s="29" t="n">
        <f aca="false">C37*Premissas!$E$8*Premissas!$B$27</f>
        <v>0</v>
      </c>
      <c r="F37" s="29" t="n">
        <f aca="false">D37+E37</f>
        <v>105000</v>
      </c>
      <c r="G37" s="29" t="n">
        <f aca="false">F37*Premissas!$E$14</f>
        <v>8400</v>
      </c>
      <c r="H37" s="29" t="n">
        <f aca="false">F37*Premissas!$E$13</f>
        <v>47250</v>
      </c>
      <c r="I37" s="29" t="n">
        <f aca="false">F37-G37-H37</f>
        <v>49350</v>
      </c>
      <c r="J37" s="29" t="n">
        <f aca="false">Premissas!$E$15+Premissas!$E$16</f>
        <v>31000</v>
      </c>
      <c r="K37" s="29" t="n">
        <f aca="false">I37-J37</f>
        <v>18350</v>
      </c>
      <c r="L37" s="29" t="n">
        <f aca="false">K37</f>
        <v>18350</v>
      </c>
      <c r="M37" s="29" t="n">
        <f aca="false">M36+L37</f>
        <v>-193150.914515366</v>
      </c>
      <c r="N37" s="27" t="n">
        <f aca="false">IF(M37&gt;=0,1,0)</f>
        <v>0</v>
      </c>
    </row>
    <row r="38" customFormat="false" ht="15" hidden="false" customHeight="false" outlineLevel="0" collapsed="false">
      <c r="A38" s="27" t="n">
        <f aca="false">A37+1</f>
        <v>33</v>
      </c>
      <c r="B38" s="28" t="n">
        <f aca="false">MIN(Premissas!$E$11,B37*(1-Premissas!$E$12)+IF(A38=1,Premissas!$E$9,Premissas!$E$10*Premissas!$B$26))</f>
        <v>300</v>
      </c>
      <c r="C38" s="28" t="n">
        <f aca="false">MAX(0,B38-B37*(1-Premissas!$E$12))</f>
        <v>6</v>
      </c>
      <c r="D38" s="29" t="n">
        <f aca="false">B38*Premissas!$E$7*Premissas!$B$27</f>
        <v>105000</v>
      </c>
      <c r="E38" s="29" t="n">
        <f aca="false">C38*Premissas!$E$8*Premissas!$B$27</f>
        <v>0</v>
      </c>
      <c r="F38" s="29" t="n">
        <f aca="false">D38+E38</f>
        <v>105000</v>
      </c>
      <c r="G38" s="29" t="n">
        <f aca="false">F38*Premissas!$E$14</f>
        <v>8400</v>
      </c>
      <c r="H38" s="29" t="n">
        <f aca="false">F38*Premissas!$E$13</f>
        <v>47250</v>
      </c>
      <c r="I38" s="29" t="n">
        <f aca="false">F38-G38-H38</f>
        <v>49350</v>
      </c>
      <c r="J38" s="29" t="n">
        <f aca="false">Premissas!$E$15+Premissas!$E$16</f>
        <v>31000</v>
      </c>
      <c r="K38" s="29" t="n">
        <f aca="false">I38-J38</f>
        <v>18350</v>
      </c>
      <c r="L38" s="29" t="n">
        <f aca="false">K38</f>
        <v>18350</v>
      </c>
      <c r="M38" s="29" t="n">
        <f aca="false">M37+L38</f>
        <v>-174800.914515366</v>
      </c>
      <c r="N38" s="27" t="n">
        <f aca="false">IF(M38&gt;=0,1,0)</f>
        <v>0</v>
      </c>
    </row>
    <row r="39" customFormat="false" ht="15" hidden="false" customHeight="false" outlineLevel="0" collapsed="false">
      <c r="A39" s="27" t="n">
        <f aca="false">A38+1</f>
        <v>34</v>
      </c>
      <c r="B39" s="28" t="n">
        <f aca="false">MIN(Premissas!$E$11,B38*(1-Premissas!$E$12)+IF(A39=1,Premissas!$E$9,Premissas!$E$10*Premissas!$B$26))</f>
        <v>300</v>
      </c>
      <c r="C39" s="28" t="n">
        <f aca="false">MAX(0,B39-B38*(1-Premissas!$E$12))</f>
        <v>6</v>
      </c>
      <c r="D39" s="29" t="n">
        <f aca="false">B39*Premissas!$E$7*Premissas!$B$27</f>
        <v>105000</v>
      </c>
      <c r="E39" s="29" t="n">
        <f aca="false">C39*Premissas!$E$8*Premissas!$B$27</f>
        <v>0</v>
      </c>
      <c r="F39" s="29" t="n">
        <f aca="false">D39+E39</f>
        <v>105000</v>
      </c>
      <c r="G39" s="29" t="n">
        <f aca="false">F39*Premissas!$E$14</f>
        <v>8400</v>
      </c>
      <c r="H39" s="29" t="n">
        <f aca="false">F39*Premissas!$E$13</f>
        <v>47250</v>
      </c>
      <c r="I39" s="29" t="n">
        <f aca="false">F39-G39-H39</f>
        <v>49350</v>
      </c>
      <c r="J39" s="29" t="n">
        <f aca="false">Premissas!$E$15+Premissas!$E$16</f>
        <v>31000</v>
      </c>
      <c r="K39" s="29" t="n">
        <f aca="false">I39-J39</f>
        <v>18350</v>
      </c>
      <c r="L39" s="29" t="n">
        <f aca="false">K39</f>
        <v>18350</v>
      </c>
      <c r="M39" s="29" t="n">
        <f aca="false">M38+L39</f>
        <v>-156450.914515366</v>
      </c>
      <c r="N39" s="27" t="n">
        <f aca="false">IF(M39&gt;=0,1,0)</f>
        <v>0</v>
      </c>
    </row>
    <row r="40" customFormat="false" ht="15" hidden="false" customHeight="false" outlineLevel="0" collapsed="false">
      <c r="A40" s="27" t="n">
        <f aca="false">A39+1</f>
        <v>35</v>
      </c>
      <c r="B40" s="28" t="n">
        <f aca="false">MIN(Premissas!$E$11,B39*(1-Premissas!$E$12)+IF(A40=1,Premissas!$E$9,Premissas!$E$10*Premissas!$B$26))</f>
        <v>300</v>
      </c>
      <c r="C40" s="28" t="n">
        <f aca="false">MAX(0,B40-B39*(1-Premissas!$E$12))</f>
        <v>6</v>
      </c>
      <c r="D40" s="29" t="n">
        <f aca="false">B40*Premissas!$E$7*Premissas!$B$27</f>
        <v>105000</v>
      </c>
      <c r="E40" s="29" t="n">
        <f aca="false">C40*Premissas!$E$8*Premissas!$B$27</f>
        <v>0</v>
      </c>
      <c r="F40" s="29" t="n">
        <f aca="false">D40+E40</f>
        <v>105000</v>
      </c>
      <c r="G40" s="29" t="n">
        <f aca="false">F40*Premissas!$E$14</f>
        <v>8400</v>
      </c>
      <c r="H40" s="29" t="n">
        <f aca="false">F40*Premissas!$E$13</f>
        <v>47250</v>
      </c>
      <c r="I40" s="29" t="n">
        <f aca="false">F40-G40-H40</f>
        <v>49350</v>
      </c>
      <c r="J40" s="29" t="n">
        <f aca="false">Premissas!$E$15+Premissas!$E$16</f>
        <v>31000</v>
      </c>
      <c r="K40" s="29" t="n">
        <f aca="false">I40-J40</f>
        <v>18350</v>
      </c>
      <c r="L40" s="29" t="n">
        <f aca="false">K40</f>
        <v>18350</v>
      </c>
      <c r="M40" s="29" t="n">
        <f aca="false">M39+L40</f>
        <v>-138100.914515366</v>
      </c>
      <c r="N40" s="27" t="n">
        <f aca="false">IF(M40&gt;=0,1,0)</f>
        <v>0</v>
      </c>
    </row>
    <row r="41" customFormat="false" ht="15" hidden="false" customHeight="false" outlineLevel="0" collapsed="false">
      <c r="A41" s="31" t="n">
        <f aca="false">A40+1</f>
        <v>36</v>
      </c>
      <c r="B41" s="32" t="n">
        <f aca="false">MIN(Premissas!$E$11,B40*(1-Premissas!$E$12)+IF(A41=1,Premissas!$E$9,Premissas!$E$10*Premissas!$B$26))</f>
        <v>300</v>
      </c>
      <c r="C41" s="32" t="n">
        <f aca="false">MAX(0,B41-B40*(1-Premissas!$E$12))</f>
        <v>6</v>
      </c>
      <c r="D41" s="33" t="n">
        <f aca="false">B41*Premissas!$E$7*Premissas!$B$27</f>
        <v>105000</v>
      </c>
      <c r="E41" s="33" t="n">
        <f aca="false">C41*Premissas!$E$8*Premissas!$B$27</f>
        <v>0</v>
      </c>
      <c r="F41" s="33" t="n">
        <f aca="false">D41+E41</f>
        <v>105000</v>
      </c>
      <c r="G41" s="33" t="n">
        <f aca="false">F41*Premissas!$E$14</f>
        <v>8400</v>
      </c>
      <c r="H41" s="33" t="n">
        <f aca="false">F41*Premissas!$E$13</f>
        <v>47250</v>
      </c>
      <c r="I41" s="33" t="n">
        <f aca="false">F41-G41-H41</f>
        <v>49350</v>
      </c>
      <c r="J41" s="33" t="n">
        <f aca="false">Premissas!$E$15+Premissas!$E$16</f>
        <v>31000</v>
      </c>
      <c r="K41" s="33" t="n">
        <f aca="false">I41-J41</f>
        <v>18350</v>
      </c>
      <c r="L41" s="33" t="n">
        <f aca="false">K41</f>
        <v>18350</v>
      </c>
      <c r="M41" s="33" t="n">
        <f aca="false">M40+L41</f>
        <v>-119750.914515366</v>
      </c>
      <c r="N41" s="31" t="n">
        <f aca="false">IF(M41&gt;=0,1,0)</f>
        <v>0</v>
      </c>
    </row>
    <row r="43" customFormat="false" ht="15" hidden="false" customHeight="false" outlineLevel="0" collapsed="false">
      <c r="A43" s="15" t="s">
        <v>147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6" min="4" style="0" width="16"/>
    <col collapsed="false" customWidth="true" hidden="false" outlineLevel="0" max="7" min="7" style="0" width="14"/>
    <col collapsed="false" customWidth="true" hidden="false" outlineLevel="0" max="13" min="8" style="0" width="16"/>
    <col collapsed="false" customWidth="true" hidden="false" outlineLevel="0" max="14" min="14" style="0" width="12"/>
  </cols>
  <sheetData>
    <row r="1" customFormat="false" ht="17.35" hidden="false" customHeight="false" outlineLevel="0" collapsed="false">
      <c r="A1" s="1" t="s">
        <v>151</v>
      </c>
    </row>
    <row r="2" customFormat="false" ht="15" hidden="false" customHeight="false" outlineLevel="0" collapsed="false">
      <c r="A2" s="0" t="s">
        <v>33</v>
      </c>
      <c r="B2" s="5" t="str">
        <f aca="false">Premissas!$B$19</f>
        <v>Base</v>
      </c>
    </row>
    <row r="4" customFormat="false" ht="45" hidden="false" customHeight="true" outlineLevel="0" collapsed="false">
      <c r="A4" s="6" t="s">
        <v>133</v>
      </c>
      <c r="B4" s="6" t="s">
        <v>134</v>
      </c>
      <c r="C4" s="6" t="s">
        <v>135</v>
      </c>
      <c r="D4" s="6" t="s">
        <v>136</v>
      </c>
      <c r="E4" s="6" t="s">
        <v>137</v>
      </c>
      <c r="F4" s="6" t="s">
        <v>138</v>
      </c>
      <c r="G4" s="6" t="s">
        <v>139</v>
      </c>
      <c r="H4" s="6" t="s">
        <v>140</v>
      </c>
      <c r="I4" s="6" t="s">
        <v>141</v>
      </c>
      <c r="J4" s="6" t="s">
        <v>142</v>
      </c>
      <c r="K4" s="6" t="s">
        <v>143</v>
      </c>
      <c r="L4" s="6" t="s">
        <v>144</v>
      </c>
      <c r="M4" s="6" t="s">
        <v>145</v>
      </c>
      <c r="N4" s="6" t="s">
        <v>146</v>
      </c>
    </row>
    <row r="5" customFormat="false" ht="15" hidden="false" customHeight="false" outlineLevel="0" collapsed="false">
      <c r="A5" s="27" t="n">
        <v>0</v>
      </c>
      <c r="B5" s="28" t="n">
        <v>0</v>
      </c>
      <c r="C5" s="28" t="n">
        <v>0</v>
      </c>
      <c r="D5" s="29" t="n">
        <v>0</v>
      </c>
      <c r="E5" s="29" t="n">
        <v>0</v>
      </c>
      <c r="F5" s="29" t="n">
        <v>0</v>
      </c>
      <c r="G5" s="29" t="n">
        <v>0</v>
      </c>
      <c r="H5" s="29" t="n">
        <v>0</v>
      </c>
      <c r="I5" s="29" t="n">
        <v>0</v>
      </c>
      <c r="J5" s="29" t="n">
        <v>0</v>
      </c>
      <c r="K5" s="29" t="n">
        <v>0</v>
      </c>
      <c r="L5" s="30" t="n">
        <f aca="false">-Premissas!$F$6</f>
        <v>-80000</v>
      </c>
      <c r="M5" s="29" t="n">
        <f aca="false">L5</f>
        <v>-80000</v>
      </c>
      <c r="N5" s="27" t="n">
        <f aca="false">IF(M5&gt;=0,1,0)</f>
        <v>0</v>
      </c>
    </row>
    <row r="6" customFormat="false" ht="15" hidden="false" customHeight="false" outlineLevel="0" collapsed="false">
      <c r="A6" s="27" t="n">
        <f aca="false">A5+1</f>
        <v>1</v>
      </c>
      <c r="B6" s="28" t="n">
        <f aca="false">MIN(Premissas!$F$11,B5*(1-Premissas!$F$12)+IF(A6=1,Premissas!$F$9,Premissas!$F$10*Premissas!$B$26))</f>
        <v>3</v>
      </c>
      <c r="C6" s="28" t="n">
        <f aca="false">MAX(0,B6-B5*(1-Premissas!$F$12))</f>
        <v>3</v>
      </c>
      <c r="D6" s="29" t="n">
        <f aca="false">B6*Premissas!$F$7*Premissas!$B$27</f>
        <v>1800</v>
      </c>
      <c r="E6" s="29" t="n">
        <f aca="false">C6*Premissas!$F$8*Premissas!$B$27</f>
        <v>4500</v>
      </c>
      <c r="F6" s="29" t="n">
        <f aca="false">D6+E6</f>
        <v>6300</v>
      </c>
      <c r="G6" s="29" t="n">
        <f aca="false">F6*Premissas!$F$14</f>
        <v>378</v>
      </c>
      <c r="H6" s="29" t="n">
        <f aca="false">F6*Premissas!$F$13</f>
        <v>1890</v>
      </c>
      <c r="I6" s="29" t="n">
        <f aca="false">F6-G6-H6</f>
        <v>4032</v>
      </c>
      <c r="J6" s="29" t="n">
        <f aca="false">Premissas!$F$15+Premissas!$F$16</f>
        <v>13000</v>
      </c>
      <c r="K6" s="29" t="n">
        <f aca="false">I6-J6</f>
        <v>-8968</v>
      </c>
      <c r="L6" s="29" t="n">
        <f aca="false">K6</f>
        <v>-8968</v>
      </c>
      <c r="M6" s="29" t="n">
        <f aca="false">M5+L6</f>
        <v>-88968</v>
      </c>
      <c r="N6" s="27" t="n">
        <f aca="false">IF(M6&gt;=0,1,0)</f>
        <v>0</v>
      </c>
    </row>
    <row r="7" customFormat="false" ht="15" hidden="false" customHeight="false" outlineLevel="0" collapsed="false">
      <c r="A7" s="27" t="n">
        <f aca="false">A6+1</f>
        <v>2</v>
      </c>
      <c r="B7" s="28" t="n">
        <f aca="false">MIN(Premissas!$F$11,B6*(1-Premissas!$F$12)+IF(A7=1,Premissas!$F$9,Premissas!$F$10*Premissas!$B$26))</f>
        <v>5.94</v>
      </c>
      <c r="C7" s="28" t="n">
        <f aca="false">MAX(0,B7-B6*(1-Premissas!$F$12))</f>
        <v>3</v>
      </c>
      <c r="D7" s="29" t="n">
        <f aca="false">B7*Premissas!$F$7*Premissas!$B$27</f>
        <v>3564</v>
      </c>
      <c r="E7" s="29" t="n">
        <f aca="false">C7*Premissas!$F$8*Premissas!$B$27</f>
        <v>4500</v>
      </c>
      <c r="F7" s="29" t="n">
        <f aca="false">D7+E7</f>
        <v>8064</v>
      </c>
      <c r="G7" s="29" t="n">
        <f aca="false">F7*Premissas!$F$14</f>
        <v>483.84</v>
      </c>
      <c r="H7" s="29" t="n">
        <f aca="false">F7*Premissas!$F$13</f>
        <v>2419.2</v>
      </c>
      <c r="I7" s="29" t="n">
        <f aca="false">F7-G7-H7</f>
        <v>5160.96</v>
      </c>
      <c r="J7" s="29" t="n">
        <f aca="false">Premissas!$F$15+Premissas!$F$16</f>
        <v>13000</v>
      </c>
      <c r="K7" s="29" t="n">
        <f aca="false">I7-J7</f>
        <v>-7839.04</v>
      </c>
      <c r="L7" s="29" t="n">
        <f aca="false">K7</f>
        <v>-7839.04</v>
      </c>
      <c r="M7" s="29" t="n">
        <f aca="false">M6+L7</f>
        <v>-96807.04</v>
      </c>
      <c r="N7" s="27" t="n">
        <f aca="false">IF(M7&gt;=0,1,0)</f>
        <v>0</v>
      </c>
    </row>
    <row r="8" customFormat="false" ht="15" hidden="false" customHeight="false" outlineLevel="0" collapsed="false">
      <c r="A8" s="27" t="n">
        <f aca="false">A7+1</f>
        <v>3</v>
      </c>
      <c r="B8" s="28" t="n">
        <f aca="false">MIN(Premissas!$F$11,B7*(1-Premissas!$F$12)+IF(A8=1,Premissas!$F$9,Premissas!$F$10*Premissas!$B$26))</f>
        <v>8.8212</v>
      </c>
      <c r="C8" s="28" t="n">
        <f aca="false">MAX(0,B8-B7*(1-Premissas!$F$12))</f>
        <v>3</v>
      </c>
      <c r="D8" s="29" t="n">
        <f aca="false">B8*Premissas!$F$7*Premissas!$B$27</f>
        <v>5292.72</v>
      </c>
      <c r="E8" s="29" t="n">
        <f aca="false">C8*Premissas!$F$8*Premissas!$B$27</f>
        <v>4500</v>
      </c>
      <c r="F8" s="29" t="n">
        <f aca="false">D8+E8</f>
        <v>9792.72</v>
      </c>
      <c r="G8" s="29" t="n">
        <f aca="false">F8*Premissas!$F$14</f>
        <v>587.5632</v>
      </c>
      <c r="H8" s="29" t="n">
        <f aca="false">F8*Premissas!$F$13</f>
        <v>2937.816</v>
      </c>
      <c r="I8" s="29" t="n">
        <f aca="false">F8-G8-H8</f>
        <v>6267.3408</v>
      </c>
      <c r="J8" s="29" t="n">
        <f aca="false">Premissas!$F$15+Premissas!$F$16</f>
        <v>13000</v>
      </c>
      <c r="K8" s="29" t="n">
        <f aca="false">I8-J8</f>
        <v>-6732.6592</v>
      </c>
      <c r="L8" s="29" t="n">
        <f aca="false">K8</f>
        <v>-6732.6592</v>
      </c>
      <c r="M8" s="29" t="n">
        <f aca="false">M7+L8</f>
        <v>-103539.6992</v>
      </c>
      <c r="N8" s="27" t="n">
        <f aca="false">IF(M8&gt;=0,1,0)</f>
        <v>0</v>
      </c>
    </row>
    <row r="9" customFormat="false" ht="15" hidden="false" customHeight="false" outlineLevel="0" collapsed="false">
      <c r="A9" s="27" t="n">
        <f aca="false">A8+1</f>
        <v>4</v>
      </c>
      <c r="B9" s="28" t="n">
        <f aca="false">MIN(Premissas!$F$11,B8*(1-Premissas!$F$12)+IF(A9=1,Premissas!$F$9,Premissas!$F$10*Premissas!$B$26))</f>
        <v>11.644776</v>
      </c>
      <c r="C9" s="28" t="n">
        <f aca="false">MAX(0,B9-B8*(1-Premissas!$F$12))</f>
        <v>3</v>
      </c>
      <c r="D9" s="29" t="n">
        <f aca="false">B9*Premissas!$F$7*Premissas!$B$27</f>
        <v>6986.8656</v>
      </c>
      <c r="E9" s="29" t="n">
        <f aca="false">C9*Premissas!$F$8*Premissas!$B$27</f>
        <v>4500</v>
      </c>
      <c r="F9" s="29" t="n">
        <f aca="false">D9+E9</f>
        <v>11486.8656</v>
      </c>
      <c r="G9" s="29" t="n">
        <f aca="false">F9*Premissas!$F$14</f>
        <v>689.211936</v>
      </c>
      <c r="H9" s="29" t="n">
        <f aca="false">F9*Premissas!$F$13</f>
        <v>3446.05968</v>
      </c>
      <c r="I9" s="29" t="n">
        <f aca="false">F9-G9-H9</f>
        <v>7351.593984</v>
      </c>
      <c r="J9" s="29" t="n">
        <f aca="false">Premissas!$F$15+Premissas!$F$16</f>
        <v>13000</v>
      </c>
      <c r="K9" s="29" t="n">
        <f aca="false">I9-J9</f>
        <v>-5648.406016</v>
      </c>
      <c r="L9" s="29" t="n">
        <f aca="false">K9</f>
        <v>-5648.406016</v>
      </c>
      <c r="M9" s="29" t="n">
        <f aca="false">M8+L9</f>
        <v>-109188.105216</v>
      </c>
      <c r="N9" s="27" t="n">
        <f aca="false">IF(M9&gt;=0,1,0)</f>
        <v>0</v>
      </c>
    </row>
    <row r="10" customFormat="false" ht="15" hidden="false" customHeight="false" outlineLevel="0" collapsed="false">
      <c r="A10" s="27" t="n">
        <f aca="false">A9+1</f>
        <v>5</v>
      </c>
      <c r="B10" s="28" t="n">
        <f aca="false">MIN(Premissas!$F$11,B9*(1-Premissas!$F$12)+IF(A10=1,Premissas!$F$9,Premissas!$F$10*Premissas!$B$26))</f>
        <v>14.41188048</v>
      </c>
      <c r="C10" s="28" t="n">
        <f aca="false">MAX(0,B10-B9*(1-Premissas!$F$12))</f>
        <v>3</v>
      </c>
      <c r="D10" s="29" t="n">
        <f aca="false">B10*Premissas!$F$7*Premissas!$B$27</f>
        <v>8647.128288</v>
      </c>
      <c r="E10" s="29" t="n">
        <f aca="false">C10*Premissas!$F$8*Premissas!$B$27</f>
        <v>4500</v>
      </c>
      <c r="F10" s="29" t="n">
        <f aca="false">D10+E10</f>
        <v>13147.128288</v>
      </c>
      <c r="G10" s="29" t="n">
        <f aca="false">F10*Premissas!$F$14</f>
        <v>788.82769728</v>
      </c>
      <c r="H10" s="29" t="n">
        <f aca="false">F10*Premissas!$F$13</f>
        <v>3944.1384864</v>
      </c>
      <c r="I10" s="29" t="n">
        <f aca="false">F10-G10-H10</f>
        <v>8414.16210432</v>
      </c>
      <c r="J10" s="29" t="n">
        <f aca="false">Premissas!$F$15+Premissas!$F$16</f>
        <v>13000</v>
      </c>
      <c r="K10" s="29" t="n">
        <f aca="false">I10-J10</f>
        <v>-4585.83789568</v>
      </c>
      <c r="L10" s="29" t="n">
        <f aca="false">K10</f>
        <v>-4585.83789568</v>
      </c>
      <c r="M10" s="29" t="n">
        <f aca="false">M9+L10</f>
        <v>-113773.94311168</v>
      </c>
      <c r="N10" s="27" t="n">
        <f aca="false">IF(M10&gt;=0,1,0)</f>
        <v>0</v>
      </c>
    </row>
    <row r="11" customFormat="false" ht="15" hidden="false" customHeight="false" outlineLevel="0" collapsed="false">
      <c r="A11" s="27" t="n">
        <f aca="false">A10+1</f>
        <v>6</v>
      </c>
      <c r="B11" s="28" t="n">
        <f aca="false">MIN(Premissas!$F$11,B10*(1-Premissas!$F$12)+IF(A11=1,Premissas!$F$9,Premissas!$F$10*Premissas!$B$26))</f>
        <v>17.1236428704</v>
      </c>
      <c r="C11" s="28" t="n">
        <f aca="false">MAX(0,B11-B10*(1-Premissas!$F$12))</f>
        <v>3</v>
      </c>
      <c r="D11" s="29" t="n">
        <f aca="false">B11*Premissas!$F$7*Premissas!$B$27</f>
        <v>10274.18572224</v>
      </c>
      <c r="E11" s="29" t="n">
        <f aca="false">C11*Premissas!$F$8*Premissas!$B$27</f>
        <v>4500</v>
      </c>
      <c r="F11" s="29" t="n">
        <f aca="false">D11+E11</f>
        <v>14774.18572224</v>
      </c>
      <c r="G11" s="29" t="n">
        <f aca="false">F11*Premissas!$F$14</f>
        <v>886.4511433344</v>
      </c>
      <c r="H11" s="29" t="n">
        <f aca="false">F11*Premissas!$F$13</f>
        <v>4432.255716672</v>
      </c>
      <c r="I11" s="29" t="n">
        <f aca="false">F11-G11-H11</f>
        <v>9455.4788622336</v>
      </c>
      <c r="J11" s="29" t="n">
        <f aca="false">Premissas!$F$15+Premissas!$F$16</f>
        <v>13000</v>
      </c>
      <c r="K11" s="29" t="n">
        <f aca="false">I11-J11</f>
        <v>-3544.5211377664</v>
      </c>
      <c r="L11" s="29" t="n">
        <f aca="false">K11</f>
        <v>-3544.5211377664</v>
      </c>
      <c r="M11" s="29" t="n">
        <f aca="false">M10+L11</f>
        <v>-117318.464249446</v>
      </c>
      <c r="N11" s="27" t="n">
        <f aca="false">IF(M11&gt;=0,1,0)</f>
        <v>0</v>
      </c>
    </row>
    <row r="12" customFormat="false" ht="15" hidden="false" customHeight="false" outlineLevel="0" collapsed="false">
      <c r="A12" s="27" t="n">
        <f aca="false">A11+1</f>
        <v>7</v>
      </c>
      <c r="B12" s="28" t="n">
        <f aca="false">MIN(Premissas!$F$11,B11*(1-Premissas!$F$12)+IF(A12=1,Premissas!$F$9,Premissas!$F$10*Premissas!$B$26))</f>
        <v>19.781170012992</v>
      </c>
      <c r="C12" s="28" t="n">
        <f aca="false">MAX(0,B12-B11*(1-Premissas!$F$12))</f>
        <v>3</v>
      </c>
      <c r="D12" s="29" t="n">
        <f aca="false">B12*Premissas!$F$7*Premissas!$B$27</f>
        <v>11868.7020077952</v>
      </c>
      <c r="E12" s="29" t="n">
        <f aca="false">C12*Premissas!$F$8*Premissas!$B$27</f>
        <v>4500</v>
      </c>
      <c r="F12" s="29" t="n">
        <f aca="false">D12+E12</f>
        <v>16368.7020077952</v>
      </c>
      <c r="G12" s="29" t="n">
        <f aca="false">F12*Premissas!$F$14</f>
        <v>982.122120467712</v>
      </c>
      <c r="H12" s="29" t="n">
        <f aca="false">F12*Premissas!$F$13</f>
        <v>4910.61060233856</v>
      </c>
      <c r="I12" s="29" t="n">
        <f aca="false">F12-G12-H12</f>
        <v>10475.9692849889</v>
      </c>
      <c r="J12" s="29" t="n">
        <f aca="false">Premissas!$F$15+Premissas!$F$16</f>
        <v>13000</v>
      </c>
      <c r="K12" s="29" t="n">
        <f aca="false">I12-J12</f>
        <v>-2524.03071501107</v>
      </c>
      <c r="L12" s="29" t="n">
        <f aca="false">K12</f>
        <v>-2524.03071501107</v>
      </c>
      <c r="M12" s="29" t="n">
        <f aca="false">M11+L12</f>
        <v>-119842.494964457</v>
      </c>
      <c r="N12" s="27" t="n">
        <f aca="false">IF(M12&gt;=0,1,0)</f>
        <v>0</v>
      </c>
    </row>
    <row r="13" customFormat="false" ht="15" hidden="false" customHeight="false" outlineLevel="0" collapsed="false">
      <c r="A13" s="27" t="n">
        <f aca="false">A12+1</f>
        <v>8</v>
      </c>
      <c r="B13" s="28" t="n">
        <f aca="false">MIN(Premissas!$F$11,B12*(1-Premissas!$F$12)+IF(A13=1,Premissas!$F$9,Premissas!$F$10*Premissas!$B$26))</f>
        <v>22.3855466127322</v>
      </c>
      <c r="C13" s="28" t="n">
        <f aca="false">MAX(0,B13-B12*(1-Premissas!$F$12))</f>
        <v>3</v>
      </c>
      <c r="D13" s="29" t="n">
        <f aca="false">B13*Premissas!$F$7*Premissas!$B$27</f>
        <v>13431.3279676393</v>
      </c>
      <c r="E13" s="29" t="n">
        <f aca="false">C13*Premissas!$F$8*Premissas!$B$27</f>
        <v>4500</v>
      </c>
      <c r="F13" s="29" t="n">
        <f aca="false">D13+E13</f>
        <v>17931.3279676393</v>
      </c>
      <c r="G13" s="29" t="n">
        <f aca="false">F13*Premissas!$F$14</f>
        <v>1075.87967805836</v>
      </c>
      <c r="H13" s="29" t="n">
        <f aca="false">F13*Premissas!$F$13</f>
        <v>5379.39839029179</v>
      </c>
      <c r="I13" s="29" t="n">
        <f aca="false">F13-G13-H13</f>
        <v>11476.0498992891</v>
      </c>
      <c r="J13" s="29" t="n">
        <f aca="false">Premissas!$F$15+Premissas!$F$16</f>
        <v>13000</v>
      </c>
      <c r="K13" s="29" t="n">
        <f aca="false">I13-J13</f>
        <v>-1523.95010071085</v>
      </c>
      <c r="L13" s="29" t="n">
        <f aca="false">K13</f>
        <v>-1523.95010071085</v>
      </c>
      <c r="M13" s="29" t="n">
        <f aca="false">M12+L13</f>
        <v>-121366.445065168</v>
      </c>
      <c r="N13" s="27" t="n">
        <f aca="false">IF(M13&gt;=0,1,0)</f>
        <v>0</v>
      </c>
    </row>
    <row r="14" customFormat="false" ht="15" hidden="false" customHeight="false" outlineLevel="0" collapsed="false">
      <c r="A14" s="27" t="n">
        <f aca="false">A13+1</f>
        <v>9</v>
      </c>
      <c r="B14" s="28" t="n">
        <f aca="false">MIN(Premissas!$F$11,B13*(1-Premissas!$F$12)+IF(A14=1,Premissas!$F$9,Premissas!$F$10*Premissas!$B$26))</f>
        <v>24.9378356804775</v>
      </c>
      <c r="C14" s="28" t="n">
        <f aca="false">MAX(0,B14-B13*(1-Premissas!$F$12))</f>
        <v>3</v>
      </c>
      <c r="D14" s="29" t="n">
        <f aca="false">B14*Premissas!$F$7*Premissas!$B$27</f>
        <v>14962.7014082865</v>
      </c>
      <c r="E14" s="29" t="n">
        <f aca="false">C14*Premissas!$F$8*Premissas!$B$27</f>
        <v>4500</v>
      </c>
      <c r="F14" s="29" t="n">
        <f aca="false">D14+E14</f>
        <v>19462.7014082865</v>
      </c>
      <c r="G14" s="29" t="n">
        <f aca="false">F14*Premissas!$F$14</f>
        <v>1167.76208449719</v>
      </c>
      <c r="H14" s="29" t="n">
        <f aca="false">F14*Premissas!$F$13</f>
        <v>5838.81042248595</v>
      </c>
      <c r="I14" s="29" t="n">
        <f aca="false">F14-G14-H14</f>
        <v>12456.1289013034</v>
      </c>
      <c r="J14" s="29" t="n">
        <f aca="false">Premissas!$F$15+Premissas!$F$16</f>
        <v>13000</v>
      </c>
      <c r="K14" s="29" t="n">
        <f aca="false">I14-J14</f>
        <v>-543.871098696636</v>
      </c>
      <c r="L14" s="29" t="n">
        <f aca="false">K14</f>
        <v>-543.871098696636</v>
      </c>
      <c r="M14" s="29" t="n">
        <f aca="false">M13+L14</f>
        <v>-121910.316163865</v>
      </c>
      <c r="N14" s="27" t="n">
        <f aca="false">IF(M14&gt;=0,1,0)</f>
        <v>0</v>
      </c>
    </row>
    <row r="15" customFormat="false" ht="15" hidden="false" customHeight="false" outlineLevel="0" collapsed="false">
      <c r="A15" s="27" t="n">
        <f aca="false">A14+1</f>
        <v>10</v>
      </c>
      <c r="B15" s="28" t="n">
        <f aca="false">MIN(Premissas!$F$11,B14*(1-Premissas!$F$12)+IF(A15=1,Premissas!$F$9,Premissas!$F$10*Premissas!$B$26))</f>
        <v>27.439078966868</v>
      </c>
      <c r="C15" s="28" t="n">
        <f aca="false">MAX(0,B15-B14*(1-Premissas!$F$12))</f>
        <v>3</v>
      </c>
      <c r="D15" s="29" t="n">
        <f aca="false">B15*Premissas!$F$7*Premissas!$B$27</f>
        <v>16463.4473801208</v>
      </c>
      <c r="E15" s="29" t="n">
        <f aca="false">C15*Premissas!$F$8*Premissas!$B$27</f>
        <v>4500</v>
      </c>
      <c r="F15" s="29" t="n">
        <f aca="false">D15+E15</f>
        <v>20963.4473801208</v>
      </c>
      <c r="G15" s="29" t="n">
        <f aca="false">F15*Premissas!$F$14</f>
        <v>1257.80684280725</v>
      </c>
      <c r="H15" s="29" t="n">
        <f aca="false">F15*Premissas!$F$13</f>
        <v>6289.03421403623</v>
      </c>
      <c r="I15" s="29" t="n">
        <f aca="false">F15-G15-H15</f>
        <v>13416.6063232773</v>
      </c>
      <c r="J15" s="29" t="n">
        <f aca="false">Premissas!$F$15+Premissas!$F$16</f>
        <v>13000</v>
      </c>
      <c r="K15" s="29" t="n">
        <f aca="false">I15-J15</f>
        <v>416.606323277294</v>
      </c>
      <c r="L15" s="29" t="n">
        <f aca="false">K15</f>
        <v>416.606323277294</v>
      </c>
      <c r="M15" s="29" t="n">
        <f aca="false">M14+L15</f>
        <v>-121493.709840588</v>
      </c>
      <c r="N15" s="27" t="n">
        <f aca="false">IF(M15&gt;=0,1,0)</f>
        <v>0</v>
      </c>
    </row>
    <row r="16" customFormat="false" ht="15" hidden="false" customHeight="false" outlineLevel="0" collapsed="false">
      <c r="A16" s="27" t="n">
        <f aca="false">A15+1</f>
        <v>11</v>
      </c>
      <c r="B16" s="28" t="n">
        <f aca="false">MIN(Premissas!$F$11,B15*(1-Premissas!$F$12)+IF(A16=1,Premissas!$F$9,Premissas!$F$10*Premissas!$B$26))</f>
        <v>29.8902973875306</v>
      </c>
      <c r="C16" s="28" t="n">
        <f aca="false">MAX(0,B16-B15*(1-Premissas!$F$12))</f>
        <v>3</v>
      </c>
      <c r="D16" s="29" t="n">
        <f aca="false">B16*Premissas!$F$7*Premissas!$B$27</f>
        <v>17934.1784325184</v>
      </c>
      <c r="E16" s="29" t="n">
        <f aca="false">C16*Premissas!$F$8*Premissas!$B$27</f>
        <v>4500</v>
      </c>
      <c r="F16" s="29" t="n">
        <f aca="false">D16+E16</f>
        <v>22434.1784325184</v>
      </c>
      <c r="G16" s="29" t="n">
        <f aca="false">F16*Premissas!$F$14</f>
        <v>1346.0507059511</v>
      </c>
      <c r="H16" s="29" t="n">
        <f aca="false">F16*Premissas!$F$13</f>
        <v>6730.25352975551</v>
      </c>
      <c r="I16" s="29" t="n">
        <f aca="false">F16-G16-H16</f>
        <v>14357.8741968118</v>
      </c>
      <c r="J16" s="29" t="n">
        <f aca="false">Premissas!$F$15+Premissas!$F$16</f>
        <v>13000</v>
      </c>
      <c r="K16" s="29" t="n">
        <f aca="false">I16-J16</f>
        <v>1357.87419681175</v>
      </c>
      <c r="L16" s="29" t="n">
        <f aca="false">K16</f>
        <v>1357.87419681175</v>
      </c>
      <c r="M16" s="29" t="n">
        <f aca="false">M15+L16</f>
        <v>-120135.835643776</v>
      </c>
      <c r="N16" s="27" t="n">
        <f aca="false">IF(M16&gt;=0,1,0)</f>
        <v>0</v>
      </c>
    </row>
    <row r="17" customFormat="false" ht="15" hidden="false" customHeight="false" outlineLevel="0" collapsed="false">
      <c r="A17" s="31" t="n">
        <f aca="false">A16+1</f>
        <v>12</v>
      </c>
      <c r="B17" s="32" t="n">
        <f aca="false">MIN(Premissas!$F$11,B16*(1-Premissas!$F$12)+IF(A17=1,Premissas!$F$9,Premissas!$F$10*Premissas!$B$26))</f>
        <v>32.29249143978</v>
      </c>
      <c r="C17" s="32" t="n">
        <f aca="false">MAX(0,B17-B16*(1-Premissas!$F$12))</f>
        <v>3</v>
      </c>
      <c r="D17" s="33" t="n">
        <f aca="false">B17*Premissas!$F$7*Premissas!$B$27</f>
        <v>19375.494863868</v>
      </c>
      <c r="E17" s="33" t="n">
        <f aca="false">C17*Premissas!$F$8*Premissas!$B$27</f>
        <v>4500.00000000001</v>
      </c>
      <c r="F17" s="33" t="n">
        <f aca="false">D17+E17</f>
        <v>23875.494863868</v>
      </c>
      <c r="G17" s="33" t="n">
        <f aca="false">F17*Premissas!$F$14</f>
        <v>1432.52969183208</v>
      </c>
      <c r="H17" s="33" t="n">
        <f aca="false">F17*Premissas!$F$13</f>
        <v>7162.6484591604</v>
      </c>
      <c r="I17" s="33" t="n">
        <f aca="false">F17-G17-H17</f>
        <v>15280.3167128755</v>
      </c>
      <c r="J17" s="33" t="n">
        <f aca="false">Premissas!$F$15+Premissas!$F$16</f>
        <v>13000</v>
      </c>
      <c r="K17" s="33" t="n">
        <f aca="false">I17-J17</f>
        <v>2280.31671287552</v>
      </c>
      <c r="L17" s="33" t="n">
        <f aca="false">K17</f>
        <v>2280.31671287552</v>
      </c>
      <c r="M17" s="33" t="n">
        <f aca="false">M16+L17</f>
        <v>-117855.5189309</v>
      </c>
      <c r="N17" s="31" t="n">
        <f aca="false">IF(M17&gt;=0,1,0)</f>
        <v>0</v>
      </c>
    </row>
    <row r="18" customFormat="false" ht="15" hidden="false" customHeight="false" outlineLevel="0" collapsed="false">
      <c r="A18" s="27" t="n">
        <f aca="false">A17+1</f>
        <v>13</v>
      </c>
      <c r="B18" s="28" t="n">
        <f aca="false">MIN(Premissas!$F$11,B17*(1-Premissas!$F$12)+IF(A18=1,Premissas!$F$9,Premissas!$F$10*Premissas!$B$26))</f>
        <v>34.6466416109844</v>
      </c>
      <c r="C18" s="28" t="n">
        <f aca="false">MAX(0,B18-B17*(1-Premissas!$F$12))</f>
        <v>3</v>
      </c>
      <c r="D18" s="29" t="n">
        <f aca="false">B18*Premissas!$F$7*Premissas!$B$27</f>
        <v>20787.9849665906</v>
      </c>
      <c r="E18" s="29" t="n">
        <f aca="false">C18*Premissas!$F$8*Premissas!$B$27</f>
        <v>4499.99999999999</v>
      </c>
      <c r="F18" s="29" t="n">
        <f aca="false">D18+E18</f>
        <v>25287.9849665906</v>
      </c>
      <c r="G18" s="29" t="n">
        <f aca="false">F18*Premissas!$F$14</f>
        <v>1517.27909799544</v>
      </c>
      <c r="H18" s="29" t="n">
        <f aca="false">F18*Premissas!$F$13</f>
        <v>7586.39548997719</v>
      </c>
      <c r="I18" s="29" t="n">
        <f aca="false">F18-G18-H18</f>
        <v>16184.310378618</v>
      </c>
      <c r="J18" s="29" t="n">
        <f aca="false">Premissas!$F$15+Premissas!$F$16</f>
        <v>13000</v>
      </c>
      <c r="K18" s="29" t="n">
        <f aca="false">I18-J18</f>
        <v>3184.310378618</v>
      </c>
      <c r="L18" s="29" t="n">
        <f aca="false">K18</f>
        <v>3184.310378618</v>
      </c>
      <c r="M18" s="29" t="n">
        <f aca="false">M17+L18</f>
        <v>-114671.208552282</v>
      </c>
      <c r="N18" s="27" t="n">
        <f aca="false">IF(M18&gt;=0,1,0)</f>
        <v>0</v>
      </c>
    </row>
    <row r="19" customFormat="false" ht="15" hidden="false" customHeight="false" outlineLevel="0" collapsed="false">
      <c r="A19" s="27" t="n">
        <f aca="false">A18+1</f>
        <v>14</v>
      </c>
      <c r="B19" s="28" t="n">
        <f aca="false">MIN(Premissas!$F$11,B18*(1-Premissas!$F$12)+IF(A19=1,Premissas!$F$9,Premissas!$F$10*Premissas!$B$26))</f>
        <v>36.9537087787647</v>
      </c>
      <c r="C19" s="28" t="n">
        <f aca="false">MAX(0,B19-B18*(1-Premissas!$F$12))</f>
        <v>3</v>
      </c>
      <c r="D19" s="29" t="n">
        <f aca="false">B19*Premissas!$F$7*Premissas!$B$27</f>
        <v>22172.2252672588</v>
      </c>
      <c r="E19" s="29" t="n">
        <f aca="false">C19*Premissas!$F$8*Premissas!$B$27</f>
        <v>4500</v>
      </c>
      <c r="F19" s="29" t="n">
        <f aca="false">D19+E19</f>
        <v>26672.2252672588</v>
      </c>
      <c r="G19" s="29" t="n">
        <f aca="false">F19*Premissas!$F$14</f>
        <v>1600.33351603553</v>
      </c>
      <c r="H19" s="29" t="n">
        <f aca="false">F19*Premissas!$F$13</f>
        <v>8001.66758017765</v>
      </c>
      <c r="I19" s="29" t="n">
        <f aca="false">F19-G19-H19</f>
        <v>17070.2241710456</v>
      </c>
      <c r="J19" s="29" t="n">
        <f aca="false">Premissas!$F$15+Premissas!$F$16</f>
        <v>13000</v>
      </c>
      <c r="K19" s="29" t="n">
        <f aca="false">I19-J19</f>
        <v>4070.22417104564</v>
      </c>
      <c r="L19" s="29" t="n">
        <f aca="false">K19</f>
        <v>4070.22417104564</v>
      </c>
      <c r="M19" s="29" t="n">
        <f aca="false">M18+L19</f>
        <v>-110600.984381237</v>
      </c>
      <c r="N19" s="27" t="n">
        <f aca="false">IF(M19&gt;=0,1,0)</f>
        <v>0</v>
      </c>
    </row>
    <row r="20" customFormat="false" ht="15" hidden="false" customHeight="false" outlineLevel="0" collapsed="false">
      <c r="A20" s="27" t="n">
        <f aca="false">A19+1</f>
        <v>15</v>
      </c>
      <c r="B20" s="28" t="n">
        <f aca="false">MIN(Premissas!$F$11,B19*(1-Premissas!$F$12)+IF(A20=1,Premissas!$F$9,Premissas!$F$10*Premissas!$B$26))</f>
        <v>39.2146346031894</v>
      </c>
      <c r="C20" s="28" t="n">
        <f aca="false">MAX(0,B20-B19*(1-Premissas!$F$12))</f>
        <v>3</v>
      </c>
      <c r="D20" s="29" t="n">
        <f aca="false">B20*Premissas!$F$7*Premissas!$B$27</f>
        <v>23528.7807619136</v>
      </c>
      <c r="E20" s="29" t="n">
        <f aca="false">C20*Premissas!$F$8*Premissas!$B$27</f>
        <v>4500</v>
      </c>
      <c r="F20" s="29" t="n">
        <f aca="false">D20+E20</f>
        <v>28028.7807619136</v>
      </c>
      <c r="G20" s="29" t="n">
        <f aca="false">F20*Premissas!$F$14</f>
        <v>1681.72684571482</v>
      </c>
      <c r="H20" s="29" t="n">
        <f aca="false">F20*Premissas!$F$13</f>
        <v>8408.63422857409</v>
      </c>
      <c r="I20" s="29" t="n">
        <f aca="false">F20-G20-H20</f>
        <v>17938.4196876247</v>
      </c>
      <c r="J20" s="29" t="n">
        <f aca="false">Premissas!$F$15+Premissas!$F$16</f>
        <v>13000</v>
      </c>
      <c r="K20" s="29" t="n">
        <f aca="false">I20-J20</f>
        <v>4938.41968762473</v>
      </c>
      <c r="L20" s="29" t="n">
        <f aca="false">K20</f>
        <v>4938.41968762473</v>
      </c>
      <c r="M20" s="29" t="n">
        <f aca="false">M19+L20</f>
        <v>-105662.564693612</v>
      </c>
      <c r="N20" s="27" t="n">
        <f aca="false">IF(M20&gt;=0,1,0)</f>
        <v>0</v>
      </c>
    </row>
    <row r="21" customFormat="false" ht="15" hidden="false" customHeight="false" outlineLevel="0" collapsed="false">
      <c r="A21" s="27" t="n">
        <f aca="false">A20+1</f>
        <v>16</v>
      </c>
      <c r="B21" s="28" t="n">
        <f aca="false">MIN(Premissas!$F$11,B20*(1-Premissas!$F$12)+IF(A21=1,Premissas!$F$9,Premissas!$F$10*Premissas!$B$26))</f>
        <v>41.4303419111256</v>
      </c>
      <c r="C21" s="28" t="n">
        <f aca="false">MAX(0,B21-B20*(1-Premissas!$F$12))</f>
        <v>3</v>
      </c>
      <c r="D21" s="29" t="n">
        <f aca="false">B21*Premissas!$F$7*Premissas!$B$27</f>
        <v>24858.2051466754</v>
      </c>
      <c r="E21" s="29" t="n">
        <f aca="false">C21*Premissas!$F$8*Premissas!$B$27</f>
        <v>4500</v>
      </c>
      <c r="F21" s="29" t="n">
        <f aca="false">D21+E21</f>
        <v>29358.2051466754</v>
      </c>
      <c r="G21" s="29" t="n">
        <f aca="false">F21*Premissas!$F$14</f>
        <v>1761.49230880052</v>
      </c>
      <c r="H21" s="29" t="n">
        <f aca="false">F21*Premissas!$F$13</f>
        <v>8807.46154400261</v>
      </c>
      <c r="I21" s="29" t="n">
        <f aca="false">F21-G21-H21</f>
        <v>18789.2512938722</v>
      </c>
      <c r="J21" s="29" t="n">
        <f aca="false">Premissas!$F$15+Premissas!$F$16</f>
        <v>13000</v>
      </c>
      <c r="K21" s="29" t="n">
        <f aca="false">I21-J21</f>
        <v>5789.25129387224</v>
      </c>
      <c r="L21" s="29" t="n">
        <f aca="false">K21</f>
        <v>5789.25129387224</v>
      </c>
      <c r="M21" s="29" t="n">
        <f aca="false">M20+L21</f>
        <v>-99873.3133997398</v>
      </c>
      <c r="N21" s="27" t="n">
        <f aca="false">IF(M21&gt;=0,1,0)</f>
        <v>0</v>
      </c>
    </row>
    <row r="22" customFormat="false" ht="15" hidden="false" customHeight="false" outlineLevel="0" collapsed="false">
      <c r="A22" s="27" t="n">
        <f aca="false">A21+1</f>
        <v>17</v>
      </c>
      <c r="B22" s="28" t="n">
        <f aca="false">MIN(Premissas!$F$11,B21*(1-Premissas!$F$12)+IF(A22=1,Premissas!$F$9,Premissas!$F$10*Premissas!$B$26))</f>
        <v>43.6017350729031</v>
      </c>
      <c r="C22" s="28" t="n">
        <f aca="false">MAX(0,B22-B21*(1-Premissas!$F$12))</f>
        <v>3</v>
      </c>
      <c r="D22" s="29" t="n">
        <f aca="false">B22*Premissas!$F$7*Premissas!$B$27</f>
        <v>26161.0410437419</v>
      </c>
      <c r="E22" s="29" t="n">
        <f aca="false">C22*Premissas!$F$8*Premissas!$B$27</f>
        <v>4500</v>
      </c>
      <c r="F22" s="29" t="n">
        <f aca="false">D22+E22</f>
        <v>30661.0410437419</v>
      </c>
      <c r="G22" s="29" t="n">
        <f aca="false">F22*Premissas!$F$14</f>
        <v>1839.66246262451</v>
      </c>
      <c r="H22" s="29" t="n">
        <f aca="false">F22*Premissas!$F$13</f>
        <v>9198.31231312256</v>
      </c>
      <c r="I22" s="29" t="n">
        <f aca="false">F22-G22-H22</f>
        <v>19623.0662679948</v>
      </c>
      <c r="J22" s="29" t="n">
        <f aca="false">Premissas!$F$15+Premissas!$F$16</f>
        <v>13000</v>
      </c>
      <c r="K22" s="29" t="n">
        <f aca="false">I22-J22</f>
        <v>6623.06626799479</v>
      </c>
      <c r="L22" s="29" t="n">
        <f aca="false">K22</f>
        <v>6623.06626799479</v>
      </c>
      <c r="M22" s="29" t="n">
        <f aca="false">M21+L22</f>
        <v>-93250.247131745</v>
      </c>
      <c r="N22" s="27" t="n">
        <f aca="false">IF(M22&gt;=0,1,0)</f>
        <v>0</v>
      </c>
    </row>
    <row r="23" customFormat="false" ht="15" hidden="false" customHeight="false" outlineLevel="0" collapsed="false">
      <c r="A23" s="27" t="n">
        <f aca="false">A22+1</f>
        <v>18</v>
      </c>
      <c r="B23" s="28" t="n">
        <f aca="false">MIN(Premissas!$F$11,B22*(1-Premissas!$F$12)+IF(A23=1,Premissas!$F$9,Premissas!$F$10*Premissas!$B$26))</f>
        <v>45.729700371445</v>
      </c>
      <c r="C23" s="28" t="n">
        <f aca="false">MAX(0,B23-B22*(1-Premissas!$F$12))</f>
        <v>3</v>
      </c>
      <c r="D23" s="29" t="n">
        <f aca="false">B23*Premissas!$F$7*Premissas!$B$27</f>
        <v>27437.820222867</v>
      </c>
      <c r="E23" s="29" t="n">
        <f aca="false">C23*Premissas!$F$8*Premissas!$B$27</f>
        <v>4500</v>
      </c>
      <c r="F23" s="29" t="n">
        <f aca="false">D23+E23</f>
        <v>31937.820222867</v>
      </c>
      <c r="G23" s="29" t="n">
        <f aca="false">F23*Premissas!$F$14</f>
        <v>1916.26921337202</v>
      </c>
      <c r="H23" s="29" t="n">
        <f aca="false">F23*Premissas!$F$13</f>
        <v>9581.34606686011</v>
      </c>
      <c r="I23" s="29" t="n">
        <f aca="false">F23-G23-H23</f>
        <v>20440.2049426349</v>
      </c>
      <c r="J23" s="29" t="n">
        <f aca="false">Premissas!$F$15+Premissas!$F$16</f>
        <v>13000</v>
      </c>
      <c r="K23" s="29" t="n">
        <f aca="false">I23-J23</f>
        <v>7440.20494263489</v>
      </c>
      <c r="L23" s="29" t="n">
        <f aca="false">K23</f>
        <v>7440.20494263489</v>
      </c>
      <c r="M23" s="29" t="n">
        <f aca="false">M22+L23</f>
        <v>-85810.0421891101</v>
      </c>
      <c r="N23" s="27" t="n">
        <f aca="false">IF(M23&gt;=0,1,0)</f>
        <v>0</v>
      </c>
    </row>
    <row r="24" customFormat="false" ht="15" hidden="false" customHeight="false" outlineLevel="0" collapsed="false">
      <c r="A24" s="27" t="n">
        <f aca="false">A23+1</f>
        <v>19</v>
      </c>
      <c r="B24" s="28" t="n">
        <f aca="false">MIN(Premissas!$F$11,B23*(1-Premissas!$F$12)+IF(A24=1,Premissas!$F$9,Premissas!$F$10*Premissas!$B$26))</f>
        <v>47.8151063640161</v>
      </c>
      <c r="C24" s="28" t="n">
        <f aca="false">MAX(0,B24-B23*(1-Premissas!$F$12))</f>
        <v>3</v>
      </c>
      <c r="D24" s="29" t="n">
        <f aca="false">B24*Premissas!$F$7*Premissas!$B$27</f>
        <v>28689.0638184097</v>
      </c>
      <c r="E24" s="29" t="n">
        <f aca="false">C24*Premissas!$F$8*Premissas!$B$27</f>
        <v>4500</v>
      </c>
      <c r="F24" s="29" t="n">
        <f aca="false">D24+E24</f>
        <v>33189.0638184097</v>
      </c>
      <c r="G24" s="29" t="n">
        <f aca="false">F24*Premissas!$F$14</f>
        <v>1991.34382910458</v>
      </c>
      <c r="H24" s="29" t="n">
        <f aca="false">F24*Premissas!$F$13</f>
        <v>9956.7191455229</v>
      </c>
      <c r="I24" s="29" t="n">
        <f aca="false">F24-G24-H24</f>
        <v>21241.0008437822</v>
      </c>
      <c r="J24" s="29" t="n">
        <f aca="false">Premissas!$F$15+Premissas!$F$16</f>
        <v>13000</v>
      </c>
      <c r="K24" s="29" t="n">
        <f aca="false">I24-J24</f>
        <v>8241.0008437822</v>
      </c>
      <c r="L24" s="29" t="n">
        <f aca="false">K24</f>
        <v>8241.0008437822</v>
      </c>
      <c r="M24" s="29" t="n">
        <f aca="false">M23+L24</f>
        <v>-77569.0413453279</v>
      </c>
      <c r="N24" s="27" t="n">
        <f aca="false">IF(M24&gt;=0,1,0)</f>
        <v>0</v>
      </c>
    </row>
    <row r="25" customFormat="false" ht="15" hidden="false" customHeight="false" outlineLevel="0" collapsed="false">
      <c r="A25" s="27" t="n">
        <f aca="false">A24+1</f>
        <v>20</v>
      </c>
      <c r="B25" s="28" t="n">
        <f aca="false">MIN(Premissas!$F$11,B24*(1-Premissas!$F$12)+IF(A25=1,Premissas!$F$9,Premissas!$F$10*Premissas!$B$26))</f>
        <v>49.8588042367358</v>
      </c>
      <c r="C25" s="28" t="n">
        <f aca="false">MAX(0,B25-B24*(1-Premissas!$F$12))</f>
        <v>3</v>
      </c>
      <c r="D25" s="29" t="n">
        <f aca="false">B25*Premissas!$F$7*Premissas!$B$27</f>
        <v>29915.2825420415</v>
      </c>
      <c r="E25" s="29" t="n">
        <f aca="false">C25*Premissas!$F$8*Premissas!$B$27</f>
        <v>4500</v>
      </c>
      <c r="F25" s="29" t="n">
        <f aca="false">D25+E25</f>
        <v>34415.2825420415</v>
      </c>
      <c r="G25" s="29" t="n">
        <f aca="false">F25*Premissas!$F$14</f>
        <v>2064.91695252249</v>
      </c>
      <c r="H25" s="29" t="n">
        <f aca="false">F25*Premissas!$F$13</f>
        <v>10324.5847626124</v>
      </c>
      <c r="I25" s="29" t="n">
        <f aca="false">F25-G25-H25</f>
        <v>22025.7808269066</v>
      </c>
      <c r="J25" s="29" t="n">
        <f aca="false">Premissas!$F$15+Premissas!$F$16</f>
        <v>13000</v>
      </c>
      <c r="K25" s="29" t="n">
        <f aca="false">I25-J25</f>
        <v>9025.78082690655</v>
      </c>
      <c r="L25" s="29" t="n">
        <f aca="false">K25</f>
        <v>9025.78082690655</v>
      </c>
      <c r="M25" s="29" t="n">
        <f aca="false">M24+L25</f>
        <v>-68543.2605184213</v>
      </c>
      <c r="N25" s="27" t="n">
        <f aca="false">IF(M25&gt;=0,1,0)</f>
        <v>0</v>
      </c>
    </row>
    <row r="26" customFormat="false" ht="15" hidden="false" customHeight="false" outlineLevel="0" collapsed="false">
      <c r="A26" s="27" t="n">
        <f aca="false">A25+1</f>
        <v>21</v>
      </c>
      <c r="B26" s="28" t="n">
        <f aca="false">MIN(Premissas!$F$11,B25*(1-Premissas!$F$12)+IF(A26=1,Premissas!$F$9,Premissas!$F$10*Premissas!$B$26))</f>
        <v>51.8616281520011</v>
      </c>
      <c r="C26" s="28" t="n">
        <f aca="false">MAX(0,B26-B25*(1-Premissas!$F$12))</f>
        <v>3</v>
      </c>
      <c r="D26" s="29" t="n">
        <f aca="false">B26*Premissas!$F$7*Premissas!$B$27</f>
        <v>31116.9768912007</v>
      </c>
      <c r="E26" s="29" t="n">
        <f aca="false">C26*Premissas!$F$8*Premissas!$B$27</f>
        <v>4500</v>
      </c>
      <c r="F26" s="29" t="n">
        <f aca="false">D26+E26</f>
        <v>35616.9768912007</v>
      </c>
      <c r="G26" s="29" t="n">
        <f aca="false">F26*Premissas!$F$14</f>
        <v>2137.01861347204</v>
      </c>
      <c r="H26" s="29" t="n">
        <f aca="false">F26*Premissas!$F$13</f>
        <v>10685.0930673602</v>
      </c>
      <c r="I26" s="29" t="n">
        <f aca="false">F26-G26-H26</f>
        <v>22794.8652103684</v>
      </c>
      <c r="J26" s="29" t="n">
        <f aca="false">Premissas!$F$15+Premissas!$F$16</f>
        <v>13000</v>
      </c>
      <c r="K26" s="29" t="n">
        <f aca="false">I26-J26</f>
        <v>9794.86521036841</v>
      </c>
      <c r="L26" s="29" t="n">
        <f aca="false">K26</f>
        <v>9794.86521036841</v>
      </c>
      <c r="M26" s="29" t="n">
        <f aca="false">M25+L26</f>
        <v>-58748.3953080529</v>
      </c>
      <c r="N26" s="27" t="n">
        <f aca="false">IF(M26&gt;=0,1,0)</f>
        <v>0</v>
      </c>
    </row>
    <row r="27" customFormat="false" ht="15" hidden="false" customHeight="false" outlineLevel="0" collapsed="false">
      <c r="A27" s="27" t="n">
        <f aca="false">A26+1</f>
        <v>22</v>
      </c>
      <c r="B27" s="28" t="n">
        <f aca="false">MIN(Premissas!$F$11,B26*(1-Premissas!$F$12)+IF(A27=1,Premissas!$F$9,Premissas!$F$10*Premissas!$B$26))</f>
        <v>53.8243955889611</v>
      </c>
      <c r="C27" s="28" t="n">
        <f aca="false">MAX(0,B27-B26*(1-Premissas!$F$12))</f>
        <v>3</v>
      </c>
      <c r="D27" s="29" t="n">
        <f aca="false">B27*Premissas!$F$7*Premissas!$B$27</f>
        <v>32294.6373533766</v>
      </c>
      <c r="E27" s="29" t="n">
        <f aca="false">C27*Premissas!$F$8*Premissas!$B$27</f>
        <v>4500</v>
      </c>
      <c r="F27" s="29" t="n">
        <f aca="false">D27+E27</f>
        <v>36794.6373533766</v>
      </c>
      <c r="G27" s="29" t="n">
        <f aca="false">F27*Premissas!$F$14</f>
        <v>2207.6782412026</v>
      </c>
      <c r="H27" s="29" t="n">
        <f aca="false">F27*Premissas!$F$13</f>
        <v>11038.391206013</v>
      </c>
      <c r="I27" s="29" t="n">
        <f aca="false">F27-G27-H27</f>
        <v>23548.5679061611</v>
      </c>
      <c r="J27" s="29" t="n">
        <f aca="false">Premissas!$F$15+Premissas!$F$16</f>
        <v>13000</v>
      </c>
      <c r="K27" s="29" t="n">
        <f aca="false">I27-J27</f>
        <v>10548.5679061611</v>
      </c>
      <c r="L27" s="29" t="n">
        <f aca="false">K27</f>
        <v>10548.5679061611</v>
      </c>
      <c r="M27" s="29" t="n">
        <f aca="false">M26+L27</f>
        <v>-48199.8274018919</v>
      </c>
      <c r="N27" s="27" t="n">
        <f aca="false">IF(M27&gt;=0,1,0)</f>
        <v>0</v>
      </c>
    </row>
    <row r="28" customFormat="false" ht="15" hidden="false" customHeight="false" outlineLevel="0" collapsed="false">
      <c r="A28" s="27" t="n">
        <f aca="false">A27+1</f>
        <v>23</v>
      </c>
      <c r="B28" s="28" t="n">
        <f aca="false">MIN(Premissas!$F$11,B27*(1-Premissas!$F$12)+IF(A28=1,Premissas!$F$9,Premissas!$F$10*Premissas!$B$26))</f>
        <v>55.7479076771819</v>
      </c>
      <c r="C28" s="28" t="n">
        <f aca="false">MAX(0,B28-B27*(1-Premissas!$F$12))</f>
        <v>3</v>
      </c>
      <c r="D28" s="29" t="n">
        <f aca="false">B28*Premissas!$F$7*Premissas!$B$27</f>
        <v>33448.7446063091</v>
      </c>
      <c r="E28" s="29" t="n">
        <f aca="false">C28*Premissas!$F$8*Premissas!$B$27</f>
        <v>4500</v>
      </c>
      <c r="F28" s="29" t="n">
        <f aca="false">D28+E28</f>
        <v>37948.7446063091</v>
      </c>
      <c r="G28" s="29" t="n">
        <f aca="false">F28*Premissas!$F$14</f>
        <v>2276.92467637855</v>
      </c>
      <c r="H28" s="29" t="n">
        <f aca="false">F28*Premissas!$F$13</f>
        <v>11384.6233818927</v>
      </c>
      <c r="I28" s="29" t="n">
        <f aca="false">F28-G28-H28</f>
        <v>24287.1965480378</v>
      </c>
      <c r="J28" s="29" t="n">
        <f aca="false">Premissas!$F$15+Premissas!$F$16</f>
        <v>13000</v>
      </c>
      <c r="K28" s="29" t="n">
        <f aca="false">I28-J28</f>
        <v>11287.1965480378</v>
      </c>
      <c r="L28" s="29" t="n">
        <f aca="false">K28</f>
        <v>11287.1965480378</v>
      </c>
      <c r="M28" s="29" t="n">
        <f aca="false">M27+L28</f>
        <v>-36912.630853854</v>
      </c>
      <c r="N28" s="27" t="n">
        <f aca="false">IF(M28&gt;=0,1,0)</f>
        <v>0</v>
      </c>
    </row>
    <row r="29" customFormat="false" ht="15" hidden="false" customHeight="false" outlineLevel="0" collapsed="false">
      <c r="A29" s="31" t="n">
        <f aca="false">A28+1</f>
        <v>24</v>
      </c>
      <c r="B29" s="32" t="n">
        <f aca="false">MIN(Premissas!$F$11,B28*(1-Premissas!$F$12)+IF(A29=1,Premissas!$F$9,Premissas!$F$10*Premissas!$B$26))</f>
        <v>57.6329495236382</v>
      </c>
      <c r="C29" s="32" t="n">
        <f aca="false">MAX(0,B29-B28*(1-Premissas!$F$12))</f>
        <v>3</v>
      </c>
      <c r="D29" s="33" t="n">
        <f aca="false">B29*Premissas!$F$7*Premissas!$B$27</f>
        <v>34579.7697141829</v>
      </c>
      <c r="E29" s="33" t="n">
        <f aca="false">C29*Premissas!$F$8*Premissas!$B$27</f>
        <v>4500</v>
      </c>
      <c r="F29" s="33" t="n">
        <f aca="false">D29+E29</f>
        <v>39079.7697141829</v>
      </c>
      <c r="G29" s="33" t="n">
        <f aca="false">F29*Premissas!$F$14</f>
        <v>2344.78618285098</v>
      </c>
      <c r="H29" s="33" t="n">
        <f aca="false">F29*Premissas!$F$13</f>
        <v>11723.9309142549</v>
      </c>
      <c r="I29" s="33" t="n">
        <f aca="false">F29-G29-H29</f>
        <v>25011.0526170771</v>
      </c>
      <c r="J29" s="33" t="n">
        <f aca="false">Premissas!$F$15+Premissas!$F$16</f>
        <v>13000</v>
      </c>
      <c r="K29" s="33" t="n">
        <f aca="false">I29-J29</f>
        <v>12011.0526170771</v>
      </c>
      <c r="L29" s="33" t="n">
        <f aca="false">K29</f>
        <v>12011.0526170771</v>
      </c>
      <c r="M29" s="33" t="n">
        <f aca="false">M28+L29</f>
        <v>-24901.578236777</v>
      </c>
      <c r="N29" s="31" t="n">
        <f aca="false">IF(M29&gt;=0,1,0)</f>
        <v>0</v>
      </c>
    </row>
    <row r="30" customFormat="false" ht="15" hidden="false" customHeight="false" outlineLevel="0" collapsed="false">
      <c r="A30" s="27" t="n">
        <f aca="false">A29+1</f>
        <v>25</v>
      </c>
      <c r="B30" s="28" t="n">
        <f aca="false">MIN(Premissas!$F$11,B29*(1-Premissas!$F$12)+IF(A30=1,Premissas!$F$9,Premissas!$F$10*Premissas!$B$26))</f>
        <v>59.4802905331654</v>
      </c>
      <c r="C30" s="28" t="n">
        <f aca="false">MAX(0,B30-B29*(1-Premissas!$F$12))</f>
        <v>3</v>
      </c>
      <c r="D30" s="29" t="n">
        <f aca="false">B30*Premissas!$F$7*Premissas!$B$27</f>
        <v>35688.1743198993</v>
      </c>
      <c r="E30" s="29" t="n">
        <f aca="false">C30*Premissas!$F$8*Premissas!$B$27</f>
        <v>4500</v>
      </c>
      <c r="F30" s="29" t="n">
        <f aca="false">D30+E30</f>
        <v>40188.1743198993</v>
      </c>
      <c r="G30" s="29" t="n">
        <f aca="false">F30*Premissas!$F$14</f>
        <v>2411.29045919396</v>
      </c>
      <c r="H30" s="29" t="n">
        <f aca="false">F30*Premissas!$F$13</f>
        <v>12056.4522959698</v>
      </c>
      <c r="I30" s="29" t="n">
        <f aca="false">F30-G30-H30</f>
        <v>25720.4315647355</v>
      </c>
      <c r="J30" s="29" t="n">
        <f aca="false">Premissas!$F$15+Premissas!$F$16</f>
        <v>13000</v>
      </c>
      <c r="K30" s="29" t="n">
        <f aca="false">I30-J30</f>
        <v>12720.4315647355</v>
      </c>
      <c r="L30" s="29" t="n">
        <f aca="false">K30</f>
        <v>12720.4315647355</v>
      </c>
      <c r="M30" s="29" t="n">
        <f aca="false">M29+L30</f>
        <v>-12181.1466720414</v>
      </c>
      <c r="N30" s="27" t="n">
        <f aca="false">IF(M30&gt;=0,1,0)</f>
        <v>0</v>
      </c>
    </row>
    <row r="31" customFormat="false" ht="15" hidden="false" customHeight="false" outlineLevel="0" collapsed="false">
      <c r="A31" s="27" t="n">
        <f aca="false">A30+1</f>
        <v>26</v>
      </c>
      <c r="B31" s="28" t="n">
        <f aca="false">MIN(Premissas!$F$11,B30*(1-Premissas!$F$12)+IF(A31=1,Premissas!$F$9,Premissas!$F$10*Premissas!$B$26))</f>
        <v>61.2906847225021</v>
      </c>
      <c r="C31" s="28" t="n">
        <f aca="false">MAX(0,B31-B30*(1-Premissas!$F$12))</f>
        <v>3</v>
      </c>
      <c r="D31" s="29" t="n">
        <f aca="false">B31*Premissas!$F$7*Premissas!$B$27</f>
        <v>36774.4108335013</v>
      </c>
      <c r="E31" s="29" t="n">
        <f aca="false">C31*Premissas!$F$8*Premissas!$B$27</f>
        <v>4500</v>
      </c>
      <c r="F31" s="29" t="n">
        <f aca="false">D31+E31</f>
        <v>41274.4108335013</v>
      </c>
      <c r="G31" s="29" t="n">
        <f aca="false">F31*Premissas!$F$14</f>
        <v>2476.46465001008</v>
      </c>
      <c r="H31" s="29" t="n">
        <f aca="false">F31*Premissas!$F$13</f>
        <v>12382.3232500504</v>
      </c>
      <c r="I31" s="29" t="n">
        <f aca="false">F31-G31-H31</f>
        <v>26415.6229334408</v>
      </c>
      <c r="J31" s="29" t="n">
        <f aca="false">Premissas!$F$15+Premissas!$F$16</f>
        <v>13000</v>
      </c>
      <c r="K31" s="29" t="n">
        <f aca="false">I31-J31</f>
        <v>13415.6229334408</v>
      </c>
      <c r="L31" s="29" t="n">
        <f aca="false">K31</f>
        <v>13415.6229334408</v>
      </c>
      <c r="M31" s="29" t="n">
        <f aca="false">M30+L31</f>
        <v>1234.47626139938</v>
      </c>
      <c r="N31" s="27" t="n">
        <f aca="false">IF(M31&gt;=0,1,0)</f>
        <v>1</v>
      </c>
    </row>
    <row r="32" customFormat="false" ht="15" hidden="false" customHeight="false" outlineLevel="0" collapsed="false">
      <c r="A32" s="27" t="n">
        <f aca="false">A31+1</f>
        <v>27</v>
      </c>
      <c r="B32" s="28" t="n">
        <f aca="false">MIN(Premissas!$F$11,B31*(1-Premissas!$F$12)+IF(A32=1,Premissas!$F$9,Premissas!$F$10*Premissas!$B$26))</f>
        <v>63.0648710280521</v>
      </c>
      <c r="C32" s="28" t="n">
        <f aca="false">MAX(0,B32-B31*(1-Premissas!$F$12))</f>
        <v>3</v>
      </c>
      <c r="D32" s="29" t="n">
        <f aca="false">B32*Premissas!$F$7*Premissas!$B$27</f>
        <v>37838.9226168313</v>
      </c>
      <c r="E32" s="29" t="n">
        <f aca="false">C32*Premissas!$F$8*Premissas!$B$27</f>
        <v>4500</v>
      </c>
      <c r="F32" s="29" t="n">
        <f aca="false">D32+E32</f>
        <v>42338.9226168313</v>
      </c>
      <c r="G32" s="29" t="n">
        <f aca="false">F32*Premissas!$F$14</f>
        <v>2540.33535700988</v>
      </c>
      <c r="H32" s="29" t="n">
        <f aca="false">F32*Premissas!$F$13</f>
        <v>12701.6767850494</v>
      </c>
      <c r="I32" s="29" t="n">
        <f aca="false">F32-G32-H32</f>
        <v>27096.910474772</v>
      </c>
      <c r="J32" s="29" t="n">
        <f aca="false">Premissas!$F$15+Premissas!$F$16</f>
        <v>13000</v>
      </c>
      <c r="K32" s="29" t="n">
        <f aca="false">I32-J32</f>
        <v>14096.910474772</v>
      </c>
      <c r="L32" s="29" t="n">
        <f aca="false">K32</f>
        <v>14096.910474772</v>
      </c>
      <c r="M32" s="29" t="n">
        <f aca="false">M31+L32</f>
        <v>15331.3867361714</v>
      </c>
      <c r="N32" s="27" t="n">
        <f aca="false">IF(M32&gt;=0,1,0)</f>
        <v>1</v>
      </c>
    </row>
    <row r="33" customFormat="false" ht="15" hidden="false" customHeight="false" outlineLevel="0" collapsed="false">
      <c r="A33" s="27" t="n">
        <f aca="false">A32+1</f>
        <v>28</v>
      </c>
      <c r="B33" s="28" t="n">
        <f aca="false">MIN(Premissas!$F$11,B32*(1-Premissas!$F$12)+IF(A33=1,Premissas!$F$9,Premissas!$F$10*Premissas!$B$26))</f>
        <v>64.8035736074911</v>
      </c>
      <c r="C33" s="28" t="n">
        <f aca="false">MAX(0,B33-B32*(1-Premissas!$F$12))</f>
        <v>3</v>
      </c>
      <c r="D33" s="29" t="n">
        <f aca="false">B33*Premissas!$F$7*Premissas!$B$27</f>
        <v>38882.1441644946</v>
      </c>
      <c r="E33" s="29" t="n">
        <f aca="false">C33*Premissas!$F$8*Premissas!$B$27</f>
        <v>4500</v>
      </c>
      <c r="F33" s="29" t="n">
        <f aca="false">D33+E33</f>
        <v>43382.1441644946</v>
      </c>
      <c r="G33" s="29" t="n">
        <f aca="false">F33*Premissas!$F$14</f>
        <v>2602.92864986968</v>
      </c>
      <c r="H33" s="29" t="n">
        <f aca="false">F33*Premissas!$F$13</f>
        <v>13014.6432493484</v>
      </c>
      <c r="I33" s="29" t="n">
        <f aca="false">F33-G33-H33</f>
        <v>27764.5722652766</v>
      </c>
      <c r="J33" s="29" t="n">
        <f aca="false">Premissas!$F$15+Premissas!$F$16</f>
        <v>13000</v>
      </c>
      <c r="K33" s="29" t="n">
        <f aca="false">I33-J33</f>
        <v>14764.5722652766</v>
      </c>
      <c r="L33" s="29" t="n">
        <f aca="false">K33</f>
        <v>14764.5722652766</v>
      </c>
      <c r="M33" s="29" t="n">
        <f aca="false">M32+L33</f>
        <v>30095.9590014479</v>
      </c>
      <c r="N33" s="27" t="n">
        <f aca="false">IF(M33&gt;=0,1,0)</f>
        <v>1</v>
      </c>
    </row>
    <row r="34" customFormat="false" ht="15" hidden="false" customHeight="false" outlineLevel="0" collapsed="false">
      <c r="A34" s="27" t="n">
        <f aca="false">A33+1</f>
        <v>29</v>
      </c>
      <c r="B34" s="28" t="n">
        <f aca="false">MIN(Premissas!$F$11,B33*(1-Premissas!$F$12)+IF(A34=1,Premissas!$F$9,Premissas!$F$10*Premissas!$B$26))</f>
        <v>66.5075021353412</v>
      </c>
      <c r="C34" s="28" t="n">
        <f aca="false">MAX(0,B34-B33*(1-Premissas!$F$12))</f>
        <v>3</v>
      </c>
      <c r="D34" s="29" t="n">
        <f aca="false">B34*Premissas!$F$7*Premissas!$B$27</f>
        <v>39904.5012812047</v>
      </c>
      <c r="E34" s="29" t="n">
        <f aca="false">C34*Premissas!$F$8*Premissas!$B$27</f>
        <v>4500</v>
      </c>
      <c r="F34" s="29" t="n">
        <f aca="false">D34+E34</f>
        <v>44404.5012812047</v>
      </c>
      <c r="G34" s="29" t="n">
        <f aca="false">F34*Premissas!$F$14</f>
        <v>2664.27007687228</v>
      </c>
      <c r="H34" s="29" t="n">
        <f aca="false">F34*Premissas!$F$13</f>
        <v>13321.3503843614</v>
      </c>
      <c r="I34" s="29" t="n">
        <f aca="false">F34-G34-H34</f>
        <v>28418.880819971</v>
      </c>
      <c r="J34" s="29" t="n">
        <f aca="false">Premissas!$F$15+Premissas!$F$16</f>
        <v>13000</v>
      </c>
      <c r="K34" s="29" t="n">
        <f aca="false">I34-J34</f>
        <v>15418.880819971</v>
      </c>
      <c r="L34" s="29" t="n">
        <f aca="false">K34</f>
        <v>15418.880819971</v>
      </c>
      <c r="M34" s="29" t="n">
        <f aca="false">M33+L34</f>
        <v>45514.839821419</v>
      </c>
      <c r="N34" s="27" t="n">
        <f aca="false">IF(M34&gt;=0,1,0)</f>
        <v>1</v>
      </c>
    </row>
    <row r="35" customFormat="false" ht="15" hidden="false" customHeight="false" outlineLevel="0" collapsed="false">
      <c r="A35" s="27" t="n">
        <f aca="false">A34+1</f>
        <v>30</v>
      </c>
      <c r="B35" s="28" t="n">
        <f aca="false">MIN(Premissas!$F$11,B34*(1-Premissas!$F$12)+IF(A35=1,Premissas!$F$9,Premissas!$F$10*Premissas!$B$26))</f>
        <v>68.1773520926344</v>
      </c>
      <c r="C35" s="28" t="n">
        <f aca="false">MAX(0,B35-B34*(1-Premissas!$F$12))</f>
        <v>3</v>
      </c>
      <c r="D35" s="29" t="n">
        <f aca="false">B35*Premissas!$F$7*Premissas!$B$27</f>
        <v>40906.4112555806</v>
      </c>
      <c r="E35" s="29" t="n">
        <f aca="false">C35*Premissas!$F$8*Premissas!$B$27</f>
        <v>4500</v>
      </c>
      <c r="F35" s="29" t="n">
        <f aca="false">D35+E35</f>
        <v>45406.4112555806</v>
      </c>
      <c r="G35" s="29" t="n">
        <f aca="false">F35*Premissas!$F$14</f>
        <v>2724.38467533484</v>
      </c>
      <c r="H35" s="29" t="n">
        <f aca="false">F35*Premissas!$F$13</f>
        <v>13621.9233766742</v>
      </c>
      <c r="I35" s="29" t="n">
        <f aca="false">F35-G35-H35</f>
        <v>29060.1032035716</v>
      </c>
      <c r="J35" s="29" t="n">
        <f aca="false">Premissas!$F$15+Premissas!$F$16</f>
        <v>13000</v>
      </c>
      <c r="K35" s="29" t="n">
        <f aca="false">I35-J35</f>
        <v>16060.1032035716</v>
      </c>
      <c r="L35" s="29" t="n">
        <f aca="false">K35</f>
        <v>16060.1032035716</v>
      </c>
      <c r="M35" s="29" t="n">
        <f aca="false">M34+L35</f>
        <v>61574.9430249906</v>
      </c>
      <c r="N35" s="27" t="n">
        <f aca="false">IF(M35&gt;=0,1,0)</f>
        <v>1</v>
      </c>
    </row>
    <row r="36" customFormat="false" ht="15" hidden="false" customHeight="false" outlineLevel="0" collapsed="false">
      <c r="A36" s="27" t="n">
        <f aca="false">A35+1</f>
        <v>31</v>
      </c>
      <c r="B36" s="28" t="n">
        <f aca="false">MIN(Premissas!$F$11,B35*(1-Premissas!$F$12)+IF(A36=1,Premissas!$F$9,Premissas!$F$10*Premissas!$B$26))</f>
        <v>69.8138050507817</v>
      </c>
      <c r="C36" s="28" t="n">
        <f aca="false">MAX(0,B36-B35*(1-Premissas!$F$12))</f>
        <v>3</v>
      </c>
      <c r="D36" s="29" t="n">
        <f aca="false">B36*Premissas!$F$7*Premissas!$B$27</f>
        <v>41888.283030469</v>
      </c>
      <c r="E36" s="29" t="n">
        <f aca="false">C36*Premissas!$F$8*Premissas!$B$27</f>
        <v>4500</v>
      </c>
      <c r="F36" s="29" t="n">
        <f aca="false">D36+E36</f>
        <v>46388.283030469</v>
      </c>
      <c r="G36" s="29" t="n">
        <f aca="false">F36*Premissas!$F$14</f>
        <v>2783.29698182814</v>
      </c>
      <c r="H36" s="29" t="n">
        <f aca="false">F36*Premissas!$F$13</f>
        <v>13916.4849091407</v>
      </c>
      <c r="I36" s="29" t="n">
        <f aca="false">F36-G36-H36</f>
        <v>29688.5011395002</v>
      </c>
      <c r="J36" s="29" t="n">
        <f aca="false">Premissas!$F$15+Premissas!$F$16</f>
        <v>13000</v>
      </c>
      <c r="K36" s="29" t="n">
        <f aca="false">I36-J36</f>
        <v>16688.5011395002</v>
      </c>
      <c r="L36" s="29" t="n">
        <f aca="false">K36</f>
        <v>16688.5011395002</v>
      </c>
      <c r="M36" s="29" t="n">
        <f aca="false">M35+L36</f>
        <v>78263.4441644908</v>
      </c>
      <c r="N36" s="27" t="n">
        <f aca="false">IF(M36&gt;=0,1,0)</f>
        <v>1</v>
      </c>
    </row>
    <row r="37" customFormat="false" ht="15" hidden="false" customHeight="false" outlineLevel="0" collapsed="false">
      <c r="A37" s="27" t="n">
        <f aca="false">A36+1</f>
        <v>32</v>
      </c>
      <c r="B37" s="28" t="n">
        <f aca="false">MIN(Premissas!$F$11,B36*(1-Premissas!$F$12)+IF(A37=1,Premissas!$F$9,Premissas!$F$10*Premissas!$B$26))</f>
        <v>71.4175289497661</v>
      </c>
      <c r="C37" s="28" t="n">
        <f aca="false">MAX(0,B37-B36*(1-Premissas!$F$12))</f>
        <v>3</v>
      </c>
      <c r="D37" s="29" t="n">
        <f aca="false">B37*Premissas!$F$7*Premissas!$B$27</f>
        <v>42850.5173698597</v>
      </c>
      <c r="E37" s="29" t="n">
        <f aca="false">C37*Premissas!$F$8*Premissas!$B$27</f>
        <v>4500</v>
      </c>
      <c r="F37" s="29" t="n">
        <f aca="false">D37+E37</f>
        <v>47350.5173698597</v>
      </c>
      <c r="G37" s="29" t="n">
        <f aca="false">F37*Premissas!$F$14</f>
        <v>2841.03104219158</v>
      </c>
      <c r="H37" s="29" t="n">
        <f aca="false">F37*Premissas!$F$13</f>
        <v>14205.1552109579</v>
      </c>
      <c r="I37" s="29" t="n">
        <f aca="false">F37-G37-H37</f>
        <v>30304.3311167102</v>
      </c>
      <c r="J37" s="29" t="n">
        <f aca="false">Premissas!$F$15+Premissas!$F$16</f>
        <v>13000</v>
      </c>
      <c r="K37" s="29" t="n">
        <f aca="false">I37-J37</f>
        <v>17304.3311167102</v>
      </c>
      <c r="L37" s="29" t="n">
        <f aca="false">K37</f>
        <v>17304.3311167102</v>
      </c>
      <c r="M37" s="29" t="n">
        <f aca="false">M36+L37</f>
        <v>95567.7752812009</v>
      </c>
      <c r="N37" s="27" t="n">
        <f aca="false">IF(M37&gt;=0,1,0)</f>
        <v>1</v>
      </c>
    </row>
    <row r="38" customFormat="false" ht="15" hidden="false" customHeight="false" outlineLevel="0" collapsed="false">
      <c r="A38" s="27" t="n">
        <f aca="false">A37+1</f>
        <v>33</v>
      </c>
      <c r="B38" s="28" t="n">
        <f aca="false">MIN(Premissas!$F$11,B37*(1-Premissas!$F$12)+IF(A38=1,Premissas!$F$9,Premissas!$F$10*Premissas!$B$26))</f>
        <v>72.9891783707708</v>
      </c>
      <c r="C38" s="28" t="n">
        <f aca="false">MAX(0,B38-B37*(1-Premissas!$F$12))</f>
        <v>3</v>
      </c>
      <c r="D38" s="29" t="n">
        <f aca="false">B38*Premissas!$F$7*Premissas!$B$27</f>
        <v>43793.5070224625</v>
      </c>
      <c r="E38" s="29" t="n">
        <f aca="false">C38*Premissas!$F$8*Premissas!$B$27</f>
        <v>4500</v>
      </c>
      <c r="F38" s="29" t="n">
        <f aca="false">D38+E38</f>
        <v>48293.5070224625</v>
      </c>
      <c r="G38" s="29" t="n">
        <f aca="false">F38*Premissas!$F$14</f>
        <v>2897.61042134775</v>
      </c>
      <c r="H38" s="29" t="n">
        <f aca="false">F38*Premissas!$F$13</f>
        <v>14488.0521067387</v>
      </c>
      <c r="I38" s="29" t="n">
        <f aca="false">F38-G38-H38</f>
        <v>30907.844494376</v>
      </c>
      <c r="J38" s="29" t="n">
        <f aca="false">Premissas!$F$15+Premissas!$F$16</f>
        <v>13000</v>
      </c>
      <c r="K38" s="29" t="n">
        <f aca="false">I38-J38</f>
        <v>17907.844494376</v>
      </c>
      <c r="L38" s="29" t="n">
        <f aca="false">K38</f>
        <v>17907.844494376</v>
      </c>
      <c r="M38" s="29" t="n">
        <f aca="false">M37+L38</f>
        <v>113475.619775577</v>
      </c>
      <c r="N38" s="27" t="n">
        <f aca="false">IF(M38&gt;=0,1,0)</f>
        <v>1</v>
      </c>
    </row>
    <row r="39" customFormat="false" ht="15" hidden="false" customHeight="false" outlineLevel="0" collapsed="false">
      <c r="A39" s="27" t="n">
        <f aca="false">A38+1</f>
        <v>34</v>
      </c>
      <c r="B39" s="28" t="n">
        <f aca="false">MIN(Premissas!$F$11,B38*(1-Premissas!$F$12)+IF(A39=1,Premissas!$F$9,Premissas!$F$10*Premissas!$B$26))</f>
        <v>74.5293948033554</v>
      </c>
      <c r="C39" s="28" t="n">
        <f aca="false">MAX(0,B39-B38*(1-Premissas!$F$12))</f>
        <v>3</v>
      </c>
      <c r="D39" s="29" t="n">
        <f aca="false">B39*Premissas!$F$7*Premissas!$B$27</f>
        <v>44717.6368820132</v>
      </c>
      <c r="E39" s="29" t="n">
        <f aca="false">C39*Premissas!$F$8*Premissas!$B$27</f>
        <v>4500</v>
      </c>
      <c r="F39" s="29" t="n">
        <f aca="false">D39+E39</f>
        <v>49217.6368820132</v>
      </c>
      <c r="G39" s="29" t="n">
        <f aca="false">F39*Premissas!$F$14</f>
        <v>2953.05821292079</v>
      </c>
      <c r="H39" s="29" t="n">
        <f aca="false">F39*Premissas!$F$13</f>
        <v>14765.291064604</v>
      </c>
      <c r="I39" s="29" t="n">
        <f aca="false">F39-G39-H39</f>
        <v>31499.2876044885</v>
      </c>
      <c r="J39" s="29" t="n">
        <f aca="false">Premissas!$F$15+Premissas!$F$16</f>
        <v>13000</v>
      </c>
      <c r="K39" s="29" t="n">
        <f aca="false">I39-J39</f>
        <v>18499.2876044885</v>
      </c>
      <c r="L39" s="29" t="n">
        <f aca="false">K39</f>
        <v>18499.2876044885</v>
      </c>
      <c r="M39" s="29" t="n">
        <f aca="false">M38+L39</f>
        <v>131974.907380065</v>
      </c>
      <c r="N39" s="27" t="n">
        <f aca="false">IF(M39&gt;=0,1,0)</f>
        <v>1</v>
      </c>
    </row>
    <row r="40" customFormat="false" ht="15" hidden="false" customHeight="false" outlineLevel="0" collapsed="false">
      <c r="A40" s="27" t="n">
        <f aca="false">A39+1</f>
        <v>35</v>
      </c>
      <c r="B40" s="28" t="n">
        <f aca="false">MIN(Premissas!$F$11,B39*(1-Premissas!$F$12)+IF(A40=1,Premissas!$F$9,Premissas!$F$10*Premissas!$B$26))</f>
        <v>76.0388069072883</v>
      </c>
      <c r="C40" s="28" t="n">
        <f aca="false">MAX(0,B40-B39*(1-Premissas!$F$12))</f>
        <v>3</v>
      </c>
      <c r="D40" s="29" t="n">
        <f aca="false">B40*Premissas!$F$7*Premissas!$B$27</f>
        <v>45623.284144373</v>
      </c>
      <c r="E40" s="29" t="n">
        <f aca="false">C40*Premissas!$F$8*Premissas!$B$27</f>
        <v>4500</v>
      </c>
      <c r="F40" s="29" t="n">
        <f aca="false">D40+E40</f>
        <v>50123.284144373</v>
      </c>
      <c r="G40" s="29" t="n">
        <f aca="false">F40*Premissas!$F$14</f>
        <v>3007.39704866238</v>
      </c>
      <c r="H40" s="29" t="n">
        <f aca="false">F40*Premissas!$F$13</f>
        <v>15036.9852433119</v>
      </c>
      <c r="I40" s="29" t="n">
        <f aca="false">F40-G40-H40</f>
        <v>32078.9018523987</v>
      </c>
      <c r="J40" s="29" t="n">
        <f aca="false">Premissas!$F$15+Premissas!$F$16</f>
        <v>13000</v>
      </c>
      <c r="K40" s="29" t="n">
        <f aca="false">I40-J40</f>
        <v>19078.9018523987</v>
      </c>
      <c r="L40" s="29" t="n">
        <f aca="false">K40</f>
        <v>19078.9018523987</v>
      </c>
      <c r="M40" s="29" t="n">
        <f aca="false">M39+L40</f>
        <v>151053.809232464</v>
      </c>
      <c r="N40" s="27" t="n">
        <f aca="false">IF(M40&gt;=0,1,0)</f>
        <v>1</v>
      </c>
    </row>
    <row r="41" customFormat="false" ht="15" hidden="false" customHeight="false" outlineLevel="0" collapsed="false">
      <c r="A41" s="31" t="n">
        <f aca="false">A40+1</f>
        <v>36</v>
      </c>
      <c r="B41" s="32" t="n">
        <f aca="false">MIN(Premissas!$F$11,B40*(1-Premissas!$F$12)+IF(A41=1,Premissas!$F$9,Premissas!$F$10*Premissas!$B$26))</f>
        <v>77.5180307691425</v>
      </c>
      <c r="C41" s="32" t="n">
        <f aca="false">MAX(0,B41-B40*(1-Premissas!$F$12))</f>
        <v>3</v>
      </c>
      <c r="D41" s="33" t="n">
        <f aca="false">B41*Premissas!$F$7*Premissas!$B$27</f>
        <v>46510.8184614855</v>
      </c>
      <c r="E41" s="33" t="n">
        <f aca="false">C41*Premissas!$F$8*Premissas!$B$27</f>
        <v>4500</v>
      </c>
      <c r="F41" s="33" t="n">
        <f aca="false">D41+E41</f>
        <v>51010.8184614855</v>
      </c>
      <c r="G41" s="33" t="n">
        <f aca="false">F41*Premissas!$F$14</f>
        <v>3060.64910768913</v>
      </c>
      <c r="H41" s="33" t="n">
        <f aca="false">F41*Premissas!$F$13</f>
        <v>15303.2455384456</v>
      </c>
      <c r="I41" s="33" t="n">
        <f aca="false">F41-G41-H41</f>
        <v>32646.9238153507</v>
      </c>
      <c r="J41" s="33" t="n">
        <f aca="false">Premissas!$F$15+Premissas!$F$16</f>
        <v>13000</v>
      </c>
      <c r="K41" s="33" t="n">
        <f aca="false">I41-J41</f>
        <v>19646.9238153507</v>
      </c>
      <c r="L41" s="33" t="n">
        <f aca="false">K41</f>
        <v>19646.9238153507</v>
      </c>
      <c r="M41" s="33" t="n">
        <f aca="false">M40+L41</f>
        <v>170700.733047815</v>
      </c>
      <c r="N41" s="31" t="n">
        <f aca="false">IF(M41&gt;=0,1,0)</f>
        <v>1</v>
      </c>
    </row>
    <row r="43" customFormat="false" ht="15" hidden="false" customHeight="false" outlineLevel="0" collapsed="false">
      <c r="A43" s="15" t="s">
        <v>147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6" min="4" style="0" width="16"/>
    <col collapsed="false" customWidth="true" hidden="false" outlineLevel="0" max="7" min="7" style="0" width="14"/>
    <col collapsed="false" customWidth="true" hidden="false" outlineLevel="0" max="13" min="8" style="0" width="16"/>
    <col collapsed="false" customWidth="true" hidden="false" outlineLevel="0" max="14" min="14" style="0" width="12"/>
  </cols>
  <sheetData>
    <row r="1" customFormat="false" ht="17.35" hidden="false" customHeight="false" outlineLevel="0" collapsed="false">
      <c r="A1" s="1" t="s">
        <v>152</v>
      </c>
    </row>
    <row r="2" customFormat="false" ht="15" hidden="false" customHeight="false" outlineLevel="0" collapsed="false">
      <c r="A2" s="0" t="s">
        <v>33</v>
      </c>
      <c r="B2" s="5" t="str">
        <f aca="false">Premissas!$B$19</f>
        <v>Base</v>
      </c>
    </row>
    <row r="4" customFormat="false" ht="45" hidden="false" customHeight="true" outlineLevel="0" collapsed="false">
      <c r="A4" s="6" t="s">
        <v>133</v>
      </c>
      <c r="B4" s="6" t="s">
        <v>134</v>
      </c>
      <c r="C4" s="6" t="s">
        <v>135</v>
      </c>
      <c r="D4" s="6" t="s">
        <v>136</v>
      </c>
      <c r="E4" s="6" t="s">
        <v>137</v>
      </c>
      <c r="F4" s="6" t="s">
        <v>138</v>
      </c>
      <c r="G4" s="6" t="s">
        <v>139</v>
      </c>
      <c r="H4" s="6" t="s">
        <v>140</v>
      </c>
      <c r="I4" s="6" t="s">
        <v>141</v>
      </c>
      <c r="J4" s="6" t="s">
        <v>142</v>
      </c>
      <c r="K4" s="6" t="s">
        <v>143</v>
      </c>
      <c r="L4" s="6" t="s">
        <v>144</v>
      </c>
      <c r="M4" s="6" t="s">
        <v>145</v>
      </c>
      <c r="N4" s="6" t="s">
        <v>146</v>
      </c>
    </row>
    <row r="5" customFormat="false" ht="15" hidden="false" customHeight="false" outlineLevel="0" collapsed="false">
      <c r="A5" s="27" t="n">
        <v>0</v>
      </c>
      <c r="B5" s="28" t="n">
        <v>0</v>
      </c>
      <c r="C5" s="28" t="n">
        <v>0</v>
      </c>
      <c r="D5" s="29" t="n">
        <v>0</v>
      </c>
      <c r="E5" s="29" t="n">
        <v>0</v>
      </c>
      <c r="F5" s="29" t="n">
        <v>0</v>
      </c>
      <c r="G5" s="29" t="n">
        <v>0</v>
      </c>
      <c r="H5" s="29" t="n">
        <v>0</v>
      </c>
      <c r="I5" s="29" t="n">
        <v>0</v>
      </c>
      <c r="J5" s="29" t="n">
        <v>0</v>
      </c>
      <c r="K5" s="29" t="n">
        <v>0</v>
      </c>
      <c r="L5" s="30" t="n">
        <f aca="false">-Premissas!$G$6</f>
        <v>-50000</v>
      </c>
      <c r="M5" s="29" t="n">
        <f aca="false">L5</f>
        <v>-50000</v>
      </c>
      <c r="N5" s="27" t="n">
        <f aca="false">IF(M5&gt;=0,1,0)</f>
        <v>0</v>
      </c>
    </row>
    <row r="6" customFormat="false" ht="15" hidden="false" customHeight="false" outlineLevel="0" collapsed="false">
      <c r="A6" s="27" t="n">
        <f aca="false">A5+1</f>
        <v>1</v>
      </c>
      <c r="B6" s="28" t="n">
        <f aca="false">MIN(Premissas!$G$11,B5*(1-Premissas!$G$12)+IF(A6=1,Premissas!$G$9,Premissas!$G$10*Premissas!$B$26))</f>
        <v>2</v>
      </c>
      <c r="C6" s="28" t="n">
        <f aca="false">MAX(0,B6-B5*(1-Premissas!$G$12))</f>
        <v>2</v>
      </c>
      <c r="D6" s="29" t="n">
        <f aca="false">B6*Premissas!$G$7*Premissas!$B$27</f>
        <v>160</v>
      </c>
      <c r="E6" s="29" t="n">
        <f aca="false">C6*Premissas!$G$8*Premissas!$B$27</f>
        <v>12000</v>
      </c>
      <c r="F6" s="29" t="n">
        <f aca="false">D6+E6</f>
        <v>12160</v>
      </c>
      <c r="G6" s="29" t="n">
        <f aca="false">F6*Premissas!$G$14</f>
        <v>729.6</v>
      </c>
      <c r="H6" s="29" t="n">
        <f aca="false">F6*Premissas!$G$13</f>
        <v>6688</v>
      </c>
      <c r="I6" s="29" t="n">
        <f aca="false">F6-G6-H6</f>
        <v>4742.4</v>
      </c>
      <c r="J6" s="29" t="n">
        <f aca="false">Premissas!$G$15+Premissas!$G$16</f>
        <v>9000</v>
      </c>
      <c r="K6" s="29" t="n">
        <f aca="false">I6-J6</f>
        <v>-4257.6</v>
      </c>
      <c r="L6" s="29" t="n">
        <f aca="false">K6</f>
        <v>-4257.6</v>
      </c>
      <c r="M6" s="29" t="n">
        <f aca="false">M5+L6</f>
        <v>-54257.6</v>
      </c>
      <c r="N6" s="27" t="n">
        <f aca="false">IF(M6&gt;=0,1,0)</f>
        <v>0</v>
      </c>
    </row>
    <row r="7" customFormat="false" ht="15" hidden="false" customHeight="false" outlineLevel="0" collapsed="false">
      <c r="A7" s="27" t="n">
        <f aca="false">A6+1</f>
        <v>2</v>
      </c>
      <c r="B7" s="28" t="n">
        <f aca="false">MIN(Premissas!$G$11,B6*(1-Premissas!$G$12)+IF(A7=1,Premissas!$G$9,Premissas!$G$10*Premissas!$B$26))</f>
        <v>5.98</v>
      </c>
      <c r="C7" s="28" t="n">
        <f aca="false">MAX(0,B7-B6*(1-Premissas!$G$12))</f>
        <v>4</v>
      </c>
      <c r="D7" s="29" t="n">
        <f aca="false">B7*Premissas!$G$7*Premissas!$B$27</f>
        <v>478.4</v>
      </c>
      <c r="E7" s="29" t="n">
        <f aca="false">C7*Premissas!$G$8*Premissas!$B$27</f>
        <v>24000</v>
      </c>
      <c r="F7" s="29" t="n">
        <f aca="false">D7+E7</f>
        <v>24478.4</v>
      </c>
      <c r="G7" s="29" t="n">
        <f aca="false">F7*Premissas!$G$14</f>
        <v>1468.704</v>
      </c>
      <c r="H7" s="29" t="n">
        <f aca="false">F7*Premissas!$G$13</f>
        <v>13463.12</v>
      </c>
      <c r="I7" s="29" t="n">
        <f aca="false">F7-G7-H7</f>
        <v>9546.576</v>
      </c>
      <c r="J7" s="29" t="n">
        <f aca="false">Premissas!$G$15+Premissas!$G$16</f>
        <v>9000</v>
      </c>
      <c r="K7" s="29" t="n">
        <f aca="false">I7-J7</f>
        <v>546.575999999997</v>
      </c>
      <c r="L7" s="29" t="n">
        <f aca="false">K7</f>
        <v>546.575999999997</v>
      </c>
      <c r="M7" s="29" t="n">
        <f aca="false">M6+L7</f>
        <v>-53711.024</v>
      </c>
      <c r="N7" s="27" t="n">
        <f aca="false">IF(M7&gt;=0,1,0)</f>
        <v>0</v>
      </c>
    </row>
    <row r="8" customFormat="false" ht="15" hidden="false" customHeight="false" outlineLevel="0" collapsed="false">
      <c r="A8" s="27" t="n">
        <f aca="false">A7+1</f>
        <v>3</v>
      </c>
      <c r="B8" s="28" t="n">
        <f aca="false">MIN(Premissas!$G$11,B7*(1-Premissas!$G$12)+IF(A8=1,Premissas!$G$9,Premissas!$G$10*Premissas!$B$26))</f>
        <v>9.9202</v>
      </c>
      <c r="C8" s="28" t="n">
        <f aca="false">MAX(0,B8-B7*(1-Premissas!$G$12))</f>
        <v>4</v>
      </c>
      <c r="D8" s="29" t="n">
        <f aca="false">B8*Premissas!$G$7*Premissas!$B$27</f>
        <v>793.616</v>
      </c>
      <c r="E8" s="29" t="n">
        <f aca="false">C8*Premissas!$G$8*Premissas!$B$27</f>
        <v>24000</v>
      </c>
      <c r="F8" s="29" t="n">
        <f aca="false">D8+E8</f>
        <v>24793.616</v>
      </c>
      <c r="G8" s="29" t="n">
        <f aca="false">F8*Premissas!$G$14</f>
        <v>1487.61696</v>
      </c>
      <c r="H8" s="29" t="n">
        <f aca="false">F8*Premissas!$G$13</f>
        <v>13636.4888</v>
      </c>
      <c r="I8" s="29" t="n">
        <f aca="false">F8-G8-H8</f>
        <v>9669.51024</v>
      </c>
      <c r="J8" s="29" t="n">
        <f aca="false">Premissas!$G$15+Premissas!$G$16</f>
        <v>9000</v>
      </c>
      <c r="K8" s="29" t="n">
        <f aca="false">I8-J8</f>
        <v>669.510240000001</v>
      </c>
      <c r="L8" s="29" t="n">
        <f aca="false">K8</f>
        <v>669.510240000001</v>
      </c>
      <c r="M8" s="29" t="n">
        <f aca="false">M7+L8</f>
        <v>-53041.51376</v>
      </c>
      <c r="N8" s="27" t="n">
        <f aca="false">IF(M8&gt;=0,1,0)</f>
        <v>0</v>
      </c>
    </row>
    <row r="9" customFormat="false" ht="15" hidden="false" customHeight="false" outlineLevel="0" collapsed="false">
      <c r="A9" s="27" t="n">
        <f aca="false">A8+1</f>
        <v>4</v>
      </c>
      <c r="B9" s="28" t="n">
        <f aca="false">MIN(Premissas!$G$11,B8*(1-Premissas!$G$12)+IF(A9=1,Premissas!$G$9,Premissas!$G$10*Premissas!$B$26))</f>
        <v>13.820998</v>
      </c>
      <c r="C9" s="28" t="n">
        <f aca="false">MAX(0,B9-B8*(1-Premissas!$G$12))</f>
        <v>4</v>
      </c>
      <c r="D9" s="29" t="n">
        <f aca="false">B9*Premissas!$G$7*Premissas!$B$27</f>
        <v>1105.67984</v>
      </c>
      <c r="E9" s="29" t="n">
        <f aca="false">C9*Premissas!$G$8*Premissas!$B$27</f>
        <v>24000</v>
      </c>
      <c r="F9" s="29" t="n">
        <f aca="false">D9+E9</f>
        <v>25105.67984</v>
      </c>
      <c r="G9" s="29" t="n">
        <f aca="false">F9*Premissas!$G$14</f>
        <v>1506.3407904</v>
      </c>
      <c r="H9" s="29" t="n">
        <f aca="false">F9*Premissas!$G$13</f>
        <v>13808.123912</v>
      </c>
      <c r="I9" s="29" t="n">
        <f aca="false">F9-G9-H9</f>
        <v>9791.2151376</v>
      </c>
      <c r="J9" s="29" t="n">
        <f aca="false">Premissas!$G$15+Premissas!$G$16</f>
        <v>9000</v>
      </c>
      <c r="K9" s="29" t="n">
        <f aca="false">I9-J9</f>
        <v>791.215137599998</v>
      </c>
      <c r="L9" s="29" t="n">
        <f aca="false">K9</f>
        <v>791.215137599998</v>
      </c>
      <c r="M9" s="29" t="n">
        <f aca="false">M8+L9</f>
        <v>-52250.2986224</v>
      </c>
      <c r="N9" s="27" t="n">
        <f aca="false">IF(M9&gt;=0,1,0)</f>
        <v>0</v>
      </c>
    </row>
    <row r="10" customFormat="false" ht="15" hidden="false" customHeight="false" outlineLevel="0" collapsed="false">
      <c r="A10" s="27" t="n">
        <f aca="false">A9+1</f>
        <v>5</v>
      </c>
      <c r="B10" s="28" t="n">
        <f aca="false">MIN(Premissas!$G$11,B9*(1-Premissas!$G$12)+IF(A10=1,Premissas!$G$9,Premissas!$G$10*Premissas!$B$26))</f>
        <v>17.68278802</v>
      </c>
      <c r="C10" s="28" t="n">
        <f aca="false">MAX(0,B10-B9*(1-Premissas!$G$12))</f>
        <v>4</v>
      </c>
      <c r="D10" s="29" t="n">
        <f aca="false">B10*Premissas!$G$7*Premissas!$B$27</f>
        <v>1414.6230416</v>
      </c>
      <c r="E10" s="29" t="n">
        <f aca="false">C10*Premissas!$G$8*Premissas!$B$27</f>
        <v>24000</v>
      </c>
      <c r="F10" s="29" t="n">
        <f aca="false">D10+E10</f>
        <v>25414.6230416</v>
      </c>
      <c r="G10" s="29" t="n">
        <f aca="false">F10*Premissas!$G$14</f>
        <v>1524.877382496</v>
      </c>
      <c r="H10" s="29" t="n">
        <f aca="false">F10*Premissas!$G$13</f>
        <v>13978.04267288</v>
      </c>
      <c r="I10" s="29" t="n">
        <f aca="false">F10-G10-H10</f>
        <v>9911.702986224</v>
      </c>
      <c r="J10" s="29" t="n">
        <f aca="false">Premissas!$G$15+Premissas!$G$16</f>
        <v>9000</v>
      </c>
      <c r="K10" s="29" t="n">
        <f aca="false">I10-J10</f>
        <v>911.702986223998</v>
      </c>
      <c r="L10" s="29" t="n">
        <f aca="false">K10</f>
        <v>911.702986223998</v>
      </c>
      <c r="M10" s="29" t="n">
        <f aca="false">M9+L10</f>
        <v>-51338.595636176</v>
      </c>
      <c r="N10" s="27" t="n">
        <f aca="false">IF(M10&gt;=0,1,0)</f>
        <v>0</v>
      </c>
    </row>
    <row r="11" customFormat="false" ht="15" hidden="false" customHeight="false" outlineLevel="0" collapsed="false">
      <c r="A11" s="27" t="n">
        <f aca="false">A10+1</f>
        <v>6</v>
      </c>
      <c r="B11" s="28" t="n">
        <f aca="false">MIN(Premissas!$G$11,B10*(1-Premissas!$G$12)+IF(A11=1,Premissas!$G$9,Premissas!$G$10*Premissas!$B$26))</f>
        <v>21.5059601398</v>
      </c>
      <c r="C11" s="28" t="n">
        <f aca="false">MAX(0,B11-B10*(1-Premissas!$G$12))</f>
        <v>4</v>
      </c>
      <c r="D11" s="29" t="n">
        <f aca="false">B11*Premissas!$G$7*Premissas!$B$27</f>
        <v>1720.476811184</v>
      </c>
      <c r="E11" s="29" t="n">
        <f aca="false">C11*Premissas!$G$8*Premissas!$B$27</f>
        <v>24000</v>
      </c>
      <c r="F11" s="29" t="n">
        <f aca="false">D11+E11</f>
        <v>25720.476811184</v>
      </c>
      <c r="G11" s="29" t="n">
        <f aca="false">F11*Premissas!$G$14</f>
        <v>1543.22860867104</v>
      </c>
      <c r="H11" s="29" t="n">
        <f aca="false">F11*Premissas!$G$13</f>
        <v>14146.2622461512</v>
      </c>
      <c r="I11" s="29" t="n">
        <f aca="false">F11-G11-H11</f>
        <v>10030.9859563618</v>
      </c>
      <c r="J11" s="29" t="n">
        <f aca="false">Premissas!$G$15+Premissas!$G$16</f>
        <v>9000</v>
      </c>
      <c r="K11" s="29" t="n">
        <f aca="false">I11-J11</f>
        <v>1030.98595636176</v>
      </c>
      <c r="L11" s="29" t="n">
        <f aca="false">K11</f>
        <v>1030.98595636176</v>
      </c>
      <c r="M11" s="29" t="n">
        <f aca="false">M10+L11</f>
        <v>-50307.6096798142</v>
      </c>
      <c r="N11" s="27" t="n">
        <f aca="false">IF(M11&gt;=0,1,0)</f>
        <v>0</v>
      </c>
    </row>
    <row r="12" customFormat="false" ht="15" hidden="false" customHeight="false" outlineLevel="0" collapsed="false">
      <c r="A12" s="27" t="n">
        <f aca="false">A11+1</f>
        <v>7</v>
      </c>
      <c r="B12" s="28" t="n">
        <f aca="false">MIN(Premissas!$G$11,B11*(1-Premissas!$G$12)+IF(A12=1,Premissas!$G$9,Premissas!$G$10*Premissas!$B$26))</f>
        <v>25.290900538402</v>
      </c>
      <c r="C12" s="28" t="n">
        <f aca="false">MAX(0,B12-B11*(1-Premissas!$G$12))</f>
        <v>4</v>
      </c>
      <c r="D12" s="29" t="n">
        <f aca="false">B12*Premissas!$G$7*Premissas!$B$27</f>
        <v>2023.27204307216</v>
      </c>
      <c r="E12" s="29" t="n">
        <f aca="false">C12*Premissas!$G$8*Premissas!$B$27</f>
        <v>24000</v>
      </c>
      <c r="F12" s="29" t="n">
        <f aca="false">D12+E12</f>
        <v>26023.2720430722</v>
      </c>
      <c r="G12" s="29" t="n">
        <f aca="false">F12*Premissas!$G$14</f>
        <v>1561.39632258433</v>
      </c>
      <c r="H12" s="29" t="n">
        <f aca="false">F12*Premissas!$G$13</f>
        <v>14312.7996236897</v>
      </c>
      <c r="I12" s="29" t="n">
        <f aca="false">F12-G12-H12</f>
        <v>10149.0760967981</v>
      </c>
      <c r="J12" s="29" t="n">
        <f aca="false">Premissas!$G$15+Premissas!$G$16</f>
        <v>9000</v>
      </c>
      <c r="K12" s="29" t="n">
        <f aca="false">I12-J12</f>
        <v>1149.07609679814</v>
      </c>
      <c r="L12" s="29" t="n">
        <f aca="false">K12</f>
        <v>1149.07609679814</v>
      </c>
      <c r="M12" s="29" t="n">
        <f aca="false">M11+L12</f>
        <v>-49158.5335830161</v>
      </c>
      <c r="N12" s="27" t="n">
        <f aca="false">IF(M12&gt;=0,1,0)</f>
        <v>0</v>
      </c>
    </row>
    <row r="13" customFormat="false" ht="15" hidden="false" customHeight="false" outlineLevel="0" collapsed="false">
      <c r="A13" s="27" t="n">
        <f aca="false">A12+1</f>
        <v>8</v>
      </c>
      <c r="B13" s="28" t="n">
        <f aca="false">MIN(Premissas!$G$11,B12*(1-Premissas!$G$12)+IF(A13=1,Premissas!$G$9,Premissas!$G$10*Premissas!$B$26))</f>
        <v>29.037991533018</v>
      </c>
      <c r="C13" s="28" t="n">
        <f aca="false">MAX(0,B13-B12*(1-Premissas!$G$12))</f>
        <v>4</v>
      </c>
      <c r="D13" s="29" t="n">
        <f aca="false">B13*Premissas!$G$7*Premissas!$B$27</f>
        <v>2323.03932264144</v>
      </c>
      <c r="E13" s="29" t="n">
        <f aca="false">C13*Premissas!$G$8*Premissas!$B$27</f>
        <v>24000</v>
      </c>
      <c r="F13" s="29" t="n">
        <f aca="false">D13+E13</f>
        <v>26323.0393226414</v>
      </c>
      <c r="G13" s="29" t="n">
        <f aca="false">F13*Premissas!$G$14</f>
        <v>1579.38235935849</v>
      </c>
      <c r="H13" s="29" t="n">
        <f aca="false">F13*Premissas!$G$13</f>
        <v>14477.6716274528</v>
      </c>
      <c r="I13" s="29" t="n">
        <f aca="false">F13-G13-H13</f>
        <v>10265.9853358302</v>
      </c>
      <c r="J13" s="29" t="n">
        <f aca="false">Premissas!$G$15+Premissas!$G$16</f>
        <v>9000</v>
      </c>
      <c r="K13" s="29" t="n">
        <f aca="false">I13-J13</f>
        <v>1265.98533583016</v>
      </c>
      <c r="L13" s="29" t="n">
        <f aca="false">K13</f>
        <v>1265.98533583016</v>
      </c>
      <c r="M13" s="29" t="n">
        <f aca="false">M12+L13</f>
        <v>-47892.5482471859</v>
      </c>
      <c r="N13" s="27" t="n">
        <f aca="false">IF(M13&gt;=0,1,0)</f>
        <v>0</v>
      </c>
    </row>
    <row r="14" customFormat="false" ht="15" hidden="false" customHeight="false" outlineLevel="0" collapsed="false">
      <c r="A14" s="27" t="n">
        <f aca="false">A13+1</f>
        <v>9</v>
      </c>
      <c r="B14" s="28" t="n">
        <f aca="false">MIN(Premissas!$G$11,B13*(1-Premissas!$G$12)+IF(A14=1,Premissas!$G$9,Premissas!$G$10*Premissas!$B$26))</f>
        <v>32.7476116176878</v>
      </c>
      <c r="C14" s="28" t="n">
        <f aca="false">MAX(0,B14-B13*(1-Premissas!$G$12))</f>
        <v>4</v>
      </c>
      <c r="D14" s="29" t="n">
        <f aca="false">B14*Premissas!$G$7*Premissas!$B$27</f>
        <v>2619.80892941502</v>
      </c>
      <c r="E14" s="29" t="n">
        <f aca="false">C14*Premissas!$G$8*Premissas!$B$27</f>
        <v>24000</v>
      </c>
      <c r="F14" s="29" t="n">
        <f aca="false">D14+E14</f>
        <v>26619.808929415</v>
      </c>
      <c r="G14" s="29" t="n">
        <f aca="false">F14*Premissas!$G$14</f>
        <v>1597.1885357649</v>
      </c>
      <c r="H14" s="29" t="n">
        <f aca="false">F14*Premissas!$G$13</f>
        <v>14640.8949111783</v>
      </c>
      <c r="I14" s="29" t="n">
        <f aca="false">F14-G14-H14</f>
        <v>10381.7254824719</v>
      </c>
      <c r="J14" s="29" t="n">
        <f aca="false">Premissas!$G$15+Premissas!$G$16</f>
        <v>9000</v>
      </c>
      <c r="K14" s="29" t="n">
        <f aca="false">I14-J14</f>
        <v>1381.72548247185</v>
      </c>
      <c r="L14" s="29" t="n">
        <f aca="false">K14</f>
        <v>1381.72548247185</v>
      </c>
      <c r="M14" s="29" t="n">
        <f aca="false">M13+L14</f>
        <v>-46510.8227647141</v>
      </c>
      <c r="N14" s="27" t="n">
        <f aca="false">IF(M14&gt;=0,1,0)</f>
        <v>0</v>
      </c>
    </row>
    <row r="15" customFormat="false" ht="15" hidden="false" customHeight="false" outlineLevel="0" collapsed="false">
      <c r="A15" s="27" t="n">
        <f aca="false">A14+1</f>
        <v>10</v>
      </c>
      <c r="B15" s="28" t="n">
        <f aca="false">MIN(Premissas!$G$11,B14*(1-Premissas!$G$12)+IF(A15=1,Premissas!$G$9,Premissas!$G$10*Premissas!$B$26))</f>
        <v>36.4201355015109</v>
      </c>
      <c r="C15" s="28" t="n">
        <f aca="false">MAX(0,B15-B14*(1-Premissas!$G$12))</f>
        <v>4</v>
      </c>
      <c r="D15" s="29" t="n">
        <f aca="false">B15*Premissas!$G$7*Premissas!$B$27</f>
        <v>2913.61084012087</v>
      </c>
      <c r="E15" s="29" t="n">
        <f aca="false">C15*Premissas!$G$8*Premissas!$B$27</f>
        <v>24000</v>
      </c>
      <c r="F15" s="29" t="n">
        <f aca="false">D15+E15</f>
        <v>26913.6108401209</v>
      </c>
      <c r="G15" s="29" t="n">
        <f aca="false">F15*Premissas!$G$14</f>
        <v>1614.81665040725</v>
      </c>
      <c r="H15" s="29" t="n">
        <f aca="false">F15*Premissas!$G$13</f>
        <v>14802.4859620665</v>
      </c>
      <c r="I15" s="29" t="n">
        <f aca="false">F15-G15-H15</f>
        <v>10496.3082276471</v>
      </c>
      <c r="J15" s="29" t="n">
        <f aca="false">Premissas!$G$15+Premissas!$G$16</f>
        <v>9000</v>
      </c>
      <c r="K15" s="29" t="n">
        <f aca="false">I15-J15</f>
        <v>1496.30822764714</v>
      </c>
      <c r="L15" s="29" t="n">
        <f aca="false">K15</f>
        <v>1496.30822764714</v>
      </c>
      <c r="M15" s="29" t="n">
        <f aca="false">M14+L15</f>
        <v>-45014.514537067</v>
      </c>
      <c r="N15" s="27" t="n">
        <f aca="false">IF(M15&gt;=0,1,0)</f>
        <v>0</v>
      </c>
    </row>
    <row r="16" customFormat="false" ht="15" hidden="false" customHeight="false" outlineLevel="0" collapsed="false">
      <c r="A16" s="27" t="n">
        <f aca="false">A15+1</f>
        <v>11</v>
      </c>
      <c r="B16" s="28" t="n">
        <f aca="false">MIN(Premissas!$G$11,B15*(1-Premissas!$G$12)+IF(A16=1,Premissas!$G$9,Premissas!$G$10*Premissas!$B$26))</f>
        <v>40.0559341464958</v>
      </c>
      <c r="C16" s="28" t="n">
        <f aca="false">MAX(0,B16-B15*(1-Premissas!$G$12))</f>
        <v>4</v>
      </c>
      <c r="D16" s="29" t="n">
        <f aca="false">B16*Premissas!$G$7*Premissas!$B$27</f>
        <v>3204.47473171966</v>
      </c>
      <c r="E16" s="29" t="n">
        <f aca="false">C16*Premissas!$G$8*Premissas!$B$27</f>
        <v>24000</v>
      </c>
      <c r="F16" s="29" t="n">
        <f aca="false">D16+E16</f>
        <v>27204.4747317197</v>
      </c>
      <c r="G16" s="29" t="n">
        <f aca="false">F16*Premissas!$G$14</f>
        <v>1632.26848390318</v>
      </c>
      <c r="H16" s="29" t="n">
        <f aca="false">F16*Premissas!$G$13</f>
        <v>14962.4611024458</v>
      </c>
      <c r="I16" s="29" t="n">
        <f aca="false">F16-G16-H16</f>
        <v>10609.7451453707</v>
      </c>
      <c r="J16" s="29" t="n">
        <f aca="false">Premissas!$G$15+Premissas!$G$16</f>
        <v>9000</v>
      </c>
      <c r="K16" s="29" t="n">
        <f aca="false">I16-J16</f>
        <v>1609.74514537067</v>
      </c>
      <c r="L16" s="29" t="n">
        <f aca="false">K16</f>
        <v>1609.74514537067</v>
      </c>
      <c r="M16" s="29" t="n">
        <f aca="false">M15+L16</f>
        <v>-43404.7693916963</v>
      </c>
      <c r="N16" s="27" t="n">
        <f aca="false">IF(M16&gt;=0,1,0)</f>
        <v>0</v>
      </c>
    </row>
    <row r="17" customFormat="false" ht="15" hidden="false" customHeight="false" outlineLevel="0" collapsed="false">
      <c r="A17" s="31" t="n">
        <f aca="false">A16+1</f>
        <v>12</v>
      </c>
      <c r="B17" s="32" t="n">
        <f aca="false">MIN(Premissas!$G$11,B16*(1-Premissas!$G$12)+IF(A17=1,Premissas!$G$9,Premissas!$G$10*Premissas!$B$26))</f>
        <v>43.6553748050309</v>
      </c>
      <c r="C17" s="32" t="n">
        <f aca="false">MAX(0,B17-B16*(1-Premissas!$G$12))</f>
        <v>4</v>
      </c>
      <c r="D17" s="33" t="n">
        <f aca="false">B17*Premissas!$G$7*Premissas!$B$27</f>
        <v>3492.42998440247</v>
      </c>
      <c r="E17" s="33" t="n">
        <f aca="false">C17*Premissas!$G$8*Premissas!$B$27</f>
        <v>24000</v>
      </c>
      <c r="F17" s="33" t="n">
        <f aca="false">D17+E17</f>
        <v>27492.4299844025</v>
      </c>
      <c r="G17" s="33" t="n">
        <f aca="false">F17*Premissas!$G$14</f>
        <v>1649.54579906415</v>
      </c>
      <c r="H17" s="33" t="n">
        <f aca="false">F17*Premissas!$G$13</f>
        <v>15120.8364914214</v>
      </c>
      <c r="I17" s="33" t="n">
        <f aca="false">F17-G17-H17</f>
        <v>10722.047693917</v>
      </c>
      <c r="J17" s="33" t="n">
        <f aca="false">Premissas!$G$15+Premissas!$G$16</f>
        <v>9000</v>
      </c>
      <c r="K17" s="33" t="n">
        <f aca="false">I17-J17</f>
        <v>1722.04769391696</v>
      </c>
      <c r="L17" s="33" t="n">
        <f aca="false">K17</f>
        <v>1722.04769391696</v>
      </c>
      <c r="M17" s="33" t="n">
        <f aca="false">M16+L17</f>
        <v>-41682.7216977793</v>
      </c>
      <c r="N17" s="31" t="n">
        <f aca="false">IF(M17&gt;=0,1,0)</f>
        <v>0</v>
      </c>
    </row>
    <row r="18" customFormat="false" ht="15" hidden="false" customHeight="false" outlineLevel="0" collapsed="false">
      <c r="A18" s="27" t="n">
        <f aca="false">A17+1</f>
        <v>13</v>
      </c>
      <c r="B18" s="28" t="n">
        <f aca="false">MIN(Premissas!$G$11,B17*(1-Premissas!$G$12)+IF(A18=1,Premissas!$G$9,Premissas!$G$10*Premissas!$B$26))</f>
        <v>47.2188210569805</v>
      </c>
      <c r="C18" s="28" t="n">
        <f aca="false">MAX(0,B18-B17*(1-Premissas!$G$12))</f>
        <v>4</v>
      </c>
      <c r="D18" s="29" t="n">
        <f aca="false">B18*Premissas!$G$7*Premissas!$B$27</f>
        <v>3777.50568455844</v>
      </c>
      <c r="E18" s="29" t="n">
        <f aca="false">C18*Premissas!$G$8*Premissas!$B$27</f>
        <v>24000</v>
      </c>
      <c r="F18" s="29" t="n">
        <f aca="false">D18+E18</f>
        <v>27777.5056845584</v>
      </c>
      <c r="G18" s="29" t="n">
        <f aca="false">F18*Premissas!$G$14</f>
        <v>1666.65034107351</v>
      </c>
      <c r="H18" s="29" t="n">
        <f aca="false">F18*Premissas!$G$13</f>
        <v>15277.6281265071</v>
      </c>
      <c r="I18" s="29" t="n">
        <f aca="false">F18-G18-H18</f>
        <v>10833.2272169778</v>
      </c>
      <c r="J18" s="29" t="n">
        <f aca="false">Premissas!$G$15+Premissas!$G$16</f>
        <v>9000</v>
      </c>
      <c r="K18" s="29" t="n">
        <f aca="false">I18-J18</f>
        <v>1833.22721697779</v>
      </c>
      <c r="L18" s="29" t="n">
        <f aca="false">K18</f>
        <v>1833.22721697779</v>
      </c>
      <c r="M18" s="29" t="n">
        <f aca="false">M17+L18</f>
        <v>-39849.4944808015</v>
      </c>
      <c r="N18" s="27" t="n">
        <f aca="false">IF(M18&gt;=0,1,0)</f>
        <v>0</v>
      </c>
    </row>
    <row r="19" customFormat="false" ht="15" hidden="false" customHeight="false" outlineLevel="0" collapsed="false">
      <c r="A19" s="27" t="n">
        <f aca="false">A18+1</f>
        <v>14</v>
      </c>
      <c r="B19" s="28" t="n">
        <f aca="false">MIN(Premissas!$G$11,B18*(1-Premissas!$G$12)+IF(A19=1,Premissas!$G$9,Premissas!$G$10*Premissas!$B$26))</f>
        <v>50.7466328464107</v>
      </c>
      <c r="C19" s="28" t="n">
        <f aca="false">MAX(0,B19-B18*(1-Premissas!$G$12))</f>
        <v>4</v>
      </c>
      <c r="D19" s="29" t="n">
        <f aca="false">B19*Premissas!$G$7*Premissas!$B$27</f>
        <v>4059.73062771286</v>
      </c>
      <c r="E19" s="29" t="n">
        <f aca="false">C19*Premissas!$G$8*Premissas!$B$27</f>
        <v>24000</v>
      </c>
      <c r="F19" s="29" t="n">
        <f aca="false">D19+E19</f>
        <v>28059.7306277129</v>
      </c>
      <c r="G19" s="29" t="n">
        <f aca="false">F19*Premissas!$G$14</f>
        <v>1683.58383766277</v>
      </c>
      <c r="H19" s="29" t="n">
        <f aca="false">F19*Premissas!$G$13</f>
        <v>15432.8518452421</v>
      </c>
      <c r="I19" s="29" t="n">
        <f aca="false">F19-G19-H19</f>
        <v>10943.294944808</v>
      </c>
      <c r="J19" s="29" t="n">
        <f aca="false">Premissas!$G$15+Premissas!$G$16</f>
        <v>9000</v>
      </c>
      <c r="K19" s="29" t="n">
        <f aca="false">I19-J19</f>
        <v>1943.29494480801</v>
      </c>
      <c r="L19" s="29" t="n">
        <f aca="false">K19</f>
        <v>1943.29494480801</v>
      </c>
      <c r="M19" s="29" t="n">
        <f aca="false">M18+L19</f>
        <v>-37906.1995359935</v>
      </c>
      <c r="N19" s="27" t="n">
        <f aca="false">IF(M19&gt;=0,1,0)</f>
        <v>0</v>
      </c>
    </row>
    <row r="20" customFormat="false" ht="15" hidden="false" customHeight="false" outlineLevel="0" collapsed="false">
      <c r="A20" s="27" t="n">
        <f aca="false">A19+1</f>
        <v>15</v>
      </c>
      <c r="B20" s="28" t="n">
        <f aca="false">MIN(Premissas!$G$11,B19*(1-Premissas!$G$12)+IF(A20=1,Premissas!$G$9,Premissas!$G$10*Premissas!$B$26))</f>
        <v>54.2391665179466</v>
      </c>
      <c r="C20" s="28" t="n">
        <f aca="false">MAX(0,B20-B19*(1-Premissas!$G$12))</f>
        <v>4</v>
      </c>
      <c r="D20" s="29" t="n">
        <f aca="false">B20*Premissas!$G$7*Premissas!$B$27</f>
        <v>4339.13332143573</v>
      </c>
      <c r="E20" s="29" t="n">
        <f aca="false">C20*Premissas!$G$8*Premissas!$B$27</f>
        <v>24000</v>
      </c>
      <c r="F20" s="29" t="n">
        <f aca="false">D20+E20</f>
        <v>28339.1333214357</v>
      </c>
      <c r="G20" s="29" t="n">
        <f aca="false">F20*Premissas!$G$14</f>
        <v>1700.34799928614</v>
      </c>
      <c r="H20" s="29" t="n">
        <f aca="false">F20*Premissas!$G$13</f>
        <v>15586.5233267897</v>
      </c>
      <c r="I20" s="29" t="n">
        <f aca="false">F20-G20-H20</f>
        <v>11052.2619953599</v>
      </c>
      <c r="J20" s="29" t="n">
        <f aca="false">Premissas!$G$15+Premissas!$G$16</f>
        <v>9000</v>
      </c>
      <c r="K20" s="29" t="n">
        <f aca="false">I20-J20</f>
        <v>2052.26199535993</v>
      </c>
      <c r="L20" s="29" t="n">
        <f aca="false">K20</f>
        <v>2052.26199535993</v>
      </c>
      <c r="M20" s="29" t="n">
        <f aca="false">M19+L20</f>
        <v>-35853.9375406336</v>
      </c>
      <c r="N20" s="27" t="n">
        <f aca="false">IF(M20&gt;=0,1,0)</f>
        <v>0</v>
      </c>
    </row>
    <row r="21" customFormat="false" ht="15" hidden="false" customHeight="false" outlineLevel="0" collapsed="false">
      <c r="A21" s="27" t="n">
        <f aca="false">A20+1</f>
        <v>16</v>
      </c>
      <c r="B21" s="28" t="n">
        <f aca="false">MIN(Premissas!$G$11,B20*(1-Premissas!$G$12)+IF(A21=1,Premissas!$G$9,Premissas!$G$10*Premissas!$B$26))</f>
        <v>57.6967748527672</v>
      </c>
      <c r="C21" s="28" t="n">
        <f aca="false">MAX(0,B21-B20*(1-Premissas!$G$12))</f>
        <v>4</v>
      </c>
      <c r="D21" s="29" t="n">
        <f aca="false">B21*Premissas!$G$7*Premissas!$B$27</f>
        <v>4615.74198822137</v>
      </c>
      <c r="E21" s="29" t="n">
        <f aca="false">C21*Premissas!$G$8*Premissas!$B$27</f>
        <v>24000</v>
      </c>
      <c r="F21" s="29" t="n">
        <f aca="false">D21+E21</f>
        <v>28615.7419882214</v>
      </c>
      <c r="G21" s="29" t="n">
        <f aca="false">F21*Premissas!$G$14</f>
        <v>1716.94451929328</v>
      </c>
      <c r="H21" s="29" t="n">
        <f aca="false">F21*Premissas!$G$13</f>
        <v>15738.6580935218</v>
      </c>
      <c r="I21" s="29" t="n">
        <f aca="false">F21-G21-H21</f>
        <v>11160.1393754063</v>
      </c>
      <c r="J21" s="29" t="n">
        <f aca="false">Premissas!$G$15+Premissas!$G$16</f>
        <v>9000</v>
      </c>
      <c r="K21" s="29" t="n">
        <f aca="false">I21-J21</f>
        <v>2160.13937540633</v>
      </c>
      <c r="L21" s="29" t="n">
        <f aca="false">K21</f>
        <v>2160.13937540633</v>
      </c>
      <c r="M21" s="29" t="n">
        <f aca="false">M20+L21</f>
        <v>-33693.7981652273</v>
      </c>
      <c r="N21" s="27" t="n">
        <f aca="false">IF(M21&gt;=0,1,0)</f>
        <v>0</v>
      </c>
    </row>
    <row r="22" customFormat="false" ht="15" hidden="false" customHeight="false" outlineLevel="0" collapsed="false">
      <c r="A22" s="27" t="n">
        <f aca="false">A21+1</f>
        <v>17</v>
      </c>
      <c r="B22" s="28" t="n">
        <f aca="false">MIN(Premissas!$G$11,B21*(1-Premissas!$G$12)+IF(A22=1,Premissas!$G$9,Premissas!$G$10*Premissas!$B$26))</f>
        <v>61.1198071042395</v>
      </c>
      <c r="C22" s="28" t="n">
        <f aca="false">MAX(0,B22-B21*(1-Premissas!$G$12))</f>
        <v>4</v>
      </c>
      <c r="D22" s="29" t="n">
        <f aca="false">B22*Premissas!$G$7*Premissas!$B$27</f>
        <v>4889.58456833916</v>
      </c>
      <c r="E22" s="29" t="n">
        <f aca="false">C22*Premissas!$G$8*Premissas!$B$27</f>
        <v>24000</v>
      </c>
      <c r="F22" s="29" t="n">
        <f aca="false">D22+E22</f>
        <v>28889.5845683392</v>
      </c>
      <c r="G22" s="29" t="n">
        <f aca="false">F22*Premissas!$G$14</f>
        <v>1733.37507410035</v>
      </c>
      <c r="H22" s="29" t="n">
        <f aca="false">F22*Premissas!$G$13</f>
        <v>15889.2715125865</v>
      </c>
      <c r="I22" s="29" t="n">
        <f aca="false">F22-G22-H22</f>
        <v>11266.9379816523</v>
      </c>
      <c r="J22" s="29" t="n">
        <f aca="false">Premissas!$G$15+Premissas!$G$16</f>
        <v>9000</v>
      </c>
      <c r="K22" s="29" t="n">
        <f aca="false">I22-J22</f>
        <v>2266.93798165227</v>
      </c>
      <c r="L22" s="29" t="n">
        <f aca="false">K22</f>
        <v>2266.93798165227</v>
      </c>
      <c r="M22" s="29" t="n">
        <f aca="false">M21+L22</f>
        <v>-31426.860183575</v>
      </c>
      <c r="N22" s="27" t="n">
        <f aca="false">IF(M22&gt;=0,1,0)</f>
        <v>0</v>
      </c>
    </row>
    <row r="23" customFormat="false" ht="15" hidden="false" customHeight="false" outlineLevel="0" collapsed="false">
      <c r="A23" s="27" t="n">
        <f aca="false">A22+1</f>
        <v>18</v>
      </c>
      <c r="B23" s="28" t="n">
        <f aca="false">MIN(Premissas!$G$11,B22*(1-Premissas!$G$12)+IF(A23=1,Premissas!$G$9,Premissas!$G$10*Premissas!$B$26))</f>
        <v>64.5086090331971</v>
      </c>
      <c r="C23" s="28" t="n">
        <f aca="false">MAX(0,B23-B22*(1-Premissas!$G$12))</f>
        <v>4</v>
      </c>
      <c r="D23" s="29" t="n">
        <f aca="false">B23*Premissas!$G$7*Premissas!$B$27</f>
        <v>5160.68872265577</v>
      </c>
      <c r="E23" s="29" t="n">
        <f aca="false">C23*Premissas!$G$8*Premissas!$B$27</f>
        <v>24000</v>
      </c>
      <c r="F23" s="29" t="n">
        <f aca="false">D23+E23</f>
        <v>29160.6887226558</v>
      </c>
      <c r="G23" s="29" t="n">
        <f aca="false">F23*Premissas!$G$14</f>
        <v>1749.64132335935</v>
      </c>
      <c r="H23" s="29" t="n">
        <f aca="false">F23*Premissas!$G$13</f>
        <v>16038.3787974607</v>
      </c>
      <c r="I23" s="29" t="n">
        <f aca="false">F23-G23-H23</f>
        <v>11372.6686018357</v>
      </c>
      <c r="J23" s="29" t="n">
        <f aca="false">Premissas!$G$15+Premissas!$G$16</f>
        <v>9000</v>
      </c>
      <c r="K23" s="29" t="n">
        <f aca="false">I23-J23</f>
        <v>2372.66860183575</v>
      </c>
      <c r="L23" s="29" t="n">
        <f aca="false">K23</f>
        <v>2372.66860183575</v>
      </c>
      <c r="M23" s="29" t="n">
        <f aca="false">M22+L23</f>
        <v>-29054.1915817392</v>
      </c>
      <c r="N23" s="27" t="n">
        <f aca="false">IF(M23&gt;=0,1,0)</f>
        <v>0</v>
      </c>
    </row>
    <row r="24" customFormat="false" ht="15" hidden="false" customHeight="false" outlineLevel="0" collapsed="false">
      <c r="A24" s="27" t="n">
        <f aca="false">A23+1</f>
        <v>19</v>
      </c>
      <c r="B24" s="28" t="n">
        <f aca="false">MIN(Premissas!$G$11,B23*(1-Premissas!$G$12)+IF(A24=1,Premissas!$G$9,Premissas!$G$10*Premissas!$B$26))</f>
        <v>67.8635229428651</v>
      </c>
      <c r="C24" s="28" t="n">
        <f aca="false">MAX(0,B24-B23*(1-Premissas!$G$12))</f>
        <v>4</v>
      </c>
      <c r="D24" s="29" t="n">
        <f aca="false">B24*Premissas!$G$7*Premissas!$B$27</f>
        <v>5429.08183542921</v>
      </c>
      <c r="E24" s="29" t="n">
        <f aca="false">C24*Premissas!$G$8*Premissas!$B$27</f>
        <v>24000</v>
      </c>
      <c r="F24" s="29" t="n">
        <f aca="false">D24+E24</f>
        <v>29429.0818354292</v>
      </c>
      <c r="G24" s="29" t="n">
        <f aca="false">F24*Premissas!$G$14</f>
        <v>1765.74491012575</v>
      </c>
      <c r="H24" s="29" t="n">
        <f aca="false">F24*Premissas!$G$13</f>
        <v>16185.9950094861</v>
      </c>
      <c r="I24" s="29" t="n">
        <f aca="false">F24-G24-H24</f>
        <v>11477.3419158174</v>
      </c>
      <c r="J24" s="29" t="n">
        <f aca="false">Premissas!$G$15+Premissas!$G$16</f>
        <v>9000</v>
      </c>
      <c r="K24" s="29" t="n">
        <f aca="false">I24-J24</f>
        <v>2477.34191581739</v>
      </c>
      <c r="L24" s="29" t="n">
        <f aca="false">K24</f>
        <v>2477.34191581739</v>
      </c>
      <c r="M24" s="29" t="n">
        <f aca="false">M23+L24</f>
        <v>-26576.8496659218</v>
      </c>
      <c r="N24" s="27" t="n">
        <f aca="false">IF(M24&gt;=0,1,0)</f>
        <v>0</v>
      </c>
    </row>
    <row r="25" customFormat="false" ht="15" hidden="false" customHeight="false" outlineLevel="0" collapsed="false">
      <c r="A25" s="27" t="n">
        <f aca="false">A24+1</f>
        <v>20</v>
      </c>
      <c r="B25" s="28" t="n">
        <f aca="false">MIN(Premissas!$G$11,B24*(1-Premissas!$G$12)+IF(A25=1,Premissas!$G$9,Premissas!$G$10*Premissas!$B$26))</f>
        <v>71.1848877134365</v>
      </c>
      <c r="C25" s="28" t="n">
        <f aca="false">MAX(0,B25-B24*(1-Premissas!$G$12))</f>
        <v>4</v>
      </c>
      <c r="D25" s="29" t="n">
        <f aca="false">B25*Premissas!$G$7*Premissas!$B$27</f>
        <v>5694.79101707492</v>
      </c>
      <c r="E25" s="29" t="n">
        <f aca="false">C25*Premissas!$G$8*Premissas!$B$27</f>
        <v>24000</v>
      </c>
      <c r="F25" s="29" t="n">
        <f aca="false">D25+E25</f>
        <v>29694.7910170749</v>
      </c>
      <c r="G25" s="29" t="n">
        <f aca="false">F25*Premissas!$G$14</f>
        <v>1781.6874610245</v>
      </c>
      <c r="H25" s="29" t="n">
        <f aca="false">F25*Premissas!$G$13</f>
        <v>16332.1350593912</v>
      </c>
      <c r="I25" s="29" t="n">
        <f aca="false">F25-G25-H25</f>
        <v>11580.9684966592</v>
      </c>
      <c r="J25" s="29" t="n">
        <f aca="false">Premissas!$G$15+Premissas!$G$16</f>
        <v>9000</v>
      </c>
      <c r="K25" s="29" t="n">
        <f aca="false">I25-J25</f>
        <v>2580.96849665922</v>
      </c>
      <c r="L25" s="29" t="n">
        <f aca="false">K25</f>
        <v>2580.96849665922</v>
      </c>
      <c r="M25" s="29" t="n">
        <f aca="false">M24+L25</f>
        <v>-23995.8811692626</v>
      </c>
      <c r="N25" s="27" t="n">
        <f aca="false">IF(M25&gt;=0,1,0)</f>
        <v>0</v>
      </c>
    </row>
    <row r="26" customFormat="false" ht="15" hidden="false" customHeight="false" outlineLevel="0" collapsed="false">
      <c r="A26" s="27" t="n">
        <f aca="false">A25+1</f>
        <v>21</v>
      </c>
      <c r="B26" s="28" t="n">
        <f aca="false">MIN(Premissas!$G$11,B25*(1-Premissas!$G$12)+IF(A26=1,Premissas!$G$9,Premissas!$G$10*Premissas!$B$26))</f>
        <v>74.4730388363021</v>
      </c>
      <c r="C26" s="28" t="n">
        <f aca="false">MAX(0,B26-B25*(1-Premissas!$G$12))</f>
        <v>4</v>
      </c>
      <c r="D26" s="29" t="n">
        <f aca="false">B26*Premissas!$G$7*Premissas!$B$27</f>
        <v>5957.84310690417</v>
      </c>
      <c r="E26" s="29" t="n">
        <f aca="false">C26*Premissas!$G$8*Premissas!$B$27</f>
        <v>24000</v>
      </c>
      <c r="F26" s="29" t="n">
        <f aca="false">D26+E26</f>
        <v>29957.8431069042</v>
      </c>
      <c r="G26" s="29" t="n">
        <f aca="false">F26*Premissas!$G$14</f>
        <v>1797.47058641425</v>
      </c>
      <c r="H26" s="29" t="n">
        <f aca="false">F26*Premissas!$G$13</f>
        <v>16476.8137087973</v>
      </c>
      <c r="I26" s="29" t="n">
        <f aca="false">F26-G26-H26</f>
        <v>11683.5588116926</v>
      </c>
      <c r="J26" s="29" t="n">
        <f aca="false">Premissas!$G$15+Premissas!$G$16</f>
        <v>9000</v>
      </c>
      <c r="K26" s="29" t="n">
        <f aca="false">I26-J26</f>
        <v>2683.55881169263</v>
      </c>
      <c r="L26" s="29" t="n">
        <f aca="false">K26</f>
        <v>2683.55881169263</v>
      </c>
      <c r="M26" s="29" t="n">
        <f aca="false">M25+L26</f>
        <v>-21312.32235757</v>
      </c>
      <c r="N26" s="27" t="n">
        <f aca="false">IF(M26&gt;=0,1,0)</f>
        <v>0</v>
      </c>
    </row>
    <row r="27" customFormat="false" ht="15" hidden="false" customHeight="false" outlineLevel="0" collapsed="false">
      <c r="A27" s="27" t="n">
        <f aca="false">A26+1</f>
        <v>22</v>
      </c>
      <c r="B27" s="28" t="n">
        <f aca="false">MIN(Premissas!$G$11,B26*(1-Premissas!$G$12)+IF(A27=1,Premissas!$G$9,Premissas!$G$10*Premissas!$B$26))</f>
        <v>77.7283084479391</v>
      </c>
      <c r="C27" s="28" t="n">
        <f aca="false">MAX(0,B27-B26*(1-Premissas!$G$12))</f>
        <v>4</v>
      </c>
      <c r="D27" s="29" t="n">
        <f aca="false">B27*Premissas!$G$7*Premissas!$B$27</f>
        <v>6218.26467583513</v>
      </c>
      <c r="E27" s="29" t="n">
        <f aca="false">C27*Premissas!$G$8*Premissas!$B$27</f>
        <v>24000</v>
      </c>
      <c r="F27" s="29" t="n">
        <f aca="false">D27+E27</f>
        <v>30218.2646758351</v>
      </c>
      <c r="G27" s="29" t="n">
        <f aca="false">F27*Premissas!$G$14</f>
        <v>1813.09588055011</v>
      </c>
      <c r="H27" s="29" t="n">
        <f aca="false">F27*Premissas!$G$13</f>
        <v>16620.0455717093</v>
      </c>
      <c r="I27" s="29" t="n">
        <f aca="false">F27-G27-H27</f>
        <v>11785.1232235757</v>
      </c>
      <c r="J27" s="29" t="n">
        <f aca="false">Premissas!$G$15+Premissas!$G$16</f>
        <v>9000</v>
      </c>
      <c r="K27" s="29" t="n">
        <f aca="false">I27-J27</f>
        <v>2785.1232235757</v>
      </c>
      <c r="L27" s="29" t="n">
        <f aca="false">K27</f>
        <v>2785.1232235757</v>
      </c>
      <c r="M27" s="29" t="n">
        <f aca="false">M26+L27</f>
        <v>-18527.1991339943</v>
      </c>
      <c r="N27" s="27" t="n">
        <f aca="false">IF(M27&gt;=0,1,0)</f>
        <v>0</v>
      </c>
    </row>
    <row r="28" customFormat="false" ht="15" hidden="false" customHeight="false" outlineLevel="0" collapsed="false">
      <c r="A28" s="27" t="n">
        <f aca="false">A27+1</f>
        <v>23</v>
      </c>
      <c r="B28" s="28" t="n">
        <f aca="false">MIN(Premissas!$G$11,B27*(1-Premissas!$G$12)+IF(A28=1,Premissas!$G$9,Premissas!$G$10*Premissas!$B$26))</f>
        <v>80.9510253634597</v>
      </c>
      <c r="C28" s="28" t="n">
        <f aca="false">MAX(0,B28-B27*(1-Premissas!$G$12))</f>
        <v>4</v>
      </c>
      <c r="D28" s="29" t="n">
        <f aca="false">B28*Premissas!$G$7*Premissas!$B$27</f>
        <v>6476.08202907678</v>
      </c>
      <c r="E28" s="29" t="n">
        <f aca="false">C28*Premissas!$G$8*Premissas!$B$27</f>
        <v>24000</v>
      </c>
      <c r="F28" s="29" t="n">
        <f aca="false">D28+E28</f>
        <v>30476.0820290768</v>
      </c>
      <c r="G28" s="29" t="n">
        <f aca="false">F28*Premissas!$G$14</f>
        <v>1828.56492174461</v>
      </c>
      <c r="H28" s="29" t="n">
        <f aca="false">F28*Premissas!$G$13</f>
        <v>16761.8451159922</v>
      </c>
      <c r="I28" s="29" t="n">
        <f aca="false">F28-G28-H28</f>
        <v>11885.6719913399</v>
      </c>
      <c r="J28" s="29" t="n">
        <f aca="false">Premissas!$G$15+Premissas!$G$16</f>
        <v>9000</v>
      </c>
      <c r="K28" s="29" t="n">
        <f aca="false">I28-J28</f>
        <v>2885.67199133994</v>
      </c>
      <c r="L28" s="29" t="n">
        <f aca="false">K28</f>
        <v>2885.67199133994</v>
      </c>
      <c r="M28" s="29" t="n">
        <f aca="false">M27+L28</f>
        <v>-15641.5271426544</v>
      </c>
      <c r="N28" s="27" t="n">
        <f aca="false">IF(M28&gt;=0,1,0)</f>
        <v>0</v>
      </c>
    </row>
    <row r="29" customFormat="false" ht="15" hidden="false" customHeight="false" outlineLevel="0" collapsed="false">
      <c r="A29" s="31" t="n">
        <f aca="false">A28+1</f>
        <v>24</v>
      </c>
      <c r="B29" s="32" t="n">
        <f aca="false">MIN(Premissas!$G$11,B28*(1-Premissas!$G$12)+IF(A29=1,Premissas!$G$9,Premissas!$G$10*Premissas!$B$26))</f>
        <v>84.1415151098251</v>
      </c>
      <c r="C29" s="32" t="n">
        <f aca="false">MAX(0,B29-B28*(1-Premissas!$G$12))</f>
        <v>4</v>
      </c>
      <c r="D29" s="33" t="n">
        <f aca="false">B29*Premissas!$G$7*Premissas!$B$27</f>
        <v>6731.32120878601</v>
      </c>
      <c r="E29" s="33" t="n">
        <f aca="false">C29*Premissas!$G$8*Premissas!$B$27</f>
        <v>24000</v>
      </c>
      <c r="F29" s="33" t="n">
        <f aca="false">D29+E29</f>
        <v>30731.321208786</v>
      </c>
      <c r="G29" s="33" t="n">
        <f aca="false">F29*Premissas!$G$14</f>
        <v>1843.87927252716</v>
      </c>
      <c r="H29" s="33" t="n">
        <f aca="false">F29*Premissas!$G$13</f>
        <v>16902.2266648323</v>
      </c>
      <c r="I29" s="33" t="n">
        <f aca="false">F29-G29-H29</f>
        <v>11985.2152714265</v>
      </c>
      <c r="J29" s="33" t="n">
        <f aca="false">Premissas!$G$15+Premissas!$G$16</f>
        <v>9000</v>
      </c>
      <c r="K29" s="33" t="n">
        <f aca="false">I29-J29</f>
        <v>2985.21527142654</v>
      </c>
      <c r="L29" s="33" t="n">
        <f aca="false">K29</f>
        <v>2985.21527142654</v>
      </c>
      <c r="M29" s="33" t="n">
        <f aca="false">M28+L29</f>
        <v>-12656.3118712278</v>
      </c>
      <c r="N29" s="31" t="n">
        <f aca="false">IF(M29&gt;=0,1,0)</f>
        <v>0</v>
      </c>
    </row>
    <row r="30" customFormat="false" ht="15" hidden="false" customHeight="false" outlineLevel="0" collapsed="false">
      <c r="A30" s="27" t="n">
        <f aca="false">A29+1</f>
        <v>25</v>
      </c>
      <c r="B30" s="28" t="n">
        <f aca="false">MIN(Premissas!$G$11,B29*(1-Premissas!$G$12)+IF(A30=1,Premissas!$G$9,Premissas!$G$10*Premissas!$B$26))</f>
        <v>87.3000999587269</v>
      </c>
      <c r="C30" s="28" t="n">
        <f aca="false">MAX(0,B30-B29*(1-Premissas!$G$12))</f>
        <v>4</v>
      </c>
      <c r="D30" s="29" t="n">
        <f aca="false">B30*Premissas!$G$7*Premissas!$B$27</f>
        <v>6984.00799669815</v>
      </c>
      <c r="E30" s="29" t="n">
        <f aca="false">C30*Premissas!$G$8*Premissas!$B$27</f>
        <v>24000</v>
      </c>
      <c r="F30" s="29" t="n">
        <f aca="false">D30+E30</f>
        <v>30984.0079966981</v>
      </c>
      <c r="G30" s="29" t="n">
        <f aca="false">F30*Premissas!$G$14</f>
        <v>1859.04047980189</v>
      </c>
      <c r="H30" s="29" t="n">
        <f aca="false">F30*Premissas!$G$13</f>
        <v>17041.204398184</v>
      </c>
      <c r="I30" s="29" t="n">
        <f aca="false">F30-G30-H30</f>
        <v>12083.7631187123</v>
      </c>
      <c r="J30" s="29" t="n">
        <f aca="false">Premissas!$G$15+Premissas!$G$16</f>
        <v>9000</v>
      </c>
      <c r="K30" s="29" t="n">
        <f aca="false">I30-J30</f>
        <v>3083.76311871228</v>
      </c>
      <c r="L30" s="29" t="n">
        <f aca="false">K30</f>
        <v>3083.76311871228</v>
      </c>
      <c r="M30" s="29" t="n">
        <f aca="false">M29+L30</f>
        <v>-9572.54875251554</v>
      </c>
      <c r="N30" s="27" t="n">
        <f aca="false">IF(M30&gt;=0,1,0)</f>
        <v>0</v>
      </c>
    </row>
    <row r="31" customFormat="false" ht="15" hidden="false" customHeight="false" outlineLevel="0" collapsed="false">
      <c r="A31" s="27" t="n">
        <f aca="false">A30+1</f>
        <v>26</v>
      </c>
      <c r="B31" s="28" t="n">
        <f aca="false">MIN(Premissas!$G$11,B30*(1-Premissas!$G$12)+IF(A31=1,Premissas!$G$9,Premissas!$G$10*Premissas!$B$26))</f>
        <v>90.4270989591396</v>
      </c>
      <c r="C31" s="28" t="n">
        <f aca="false">MAX(0,B31-B30*(1-Premissas!$G$12))</f>
        <v>4</v>
      </c>
      <c r="D31" s="29" t="n">
        <f aca="false">B31*Premissas!$G$7*Premissas!$B$27</f>
        <v>7234.16791673117</v>
      </c>
      <c r="E31" s="29" t="n">
        <f aca="false">C31*Premissas!$G$8*Premissas!$B$27</f>
        <v>24000</v>
      </c>
      <c r="F31" s="29" t="n">
        <f aca="false">D31+E31</f>
        <v>31234.1679167312</v>
      </c>
      <c r="G31" s="29" t="n">
        <f aca="false">F31*Premissas!$G$14</f>
        <v>1874.05007500387</v>
      </c>
      <c r="H31" s="29" t="n">
        <f aca="false">F31*Premissas!$G$13</f>
        <v>17178.7923542021</v>
      </c>
      <c r="I31" s="29" t="n">
        <f aca="false">F31-G31-H31</f>
        <v>12181.3254875252</v>
      </c>
      <c r="J31" s="29" t="n">
        <f aca="false">Premissas!$G$15+Premissas!$G$16</f>
        <v>9000</v>
      </c>
      <c r="K31" s="29" t="n">
        <f aca="false">I31-J31</f>
        <v>3181.32548752516</v>
      </c>
      <c r="L31" s="29" t="n">
        <f aca="false">K31</f>
        <v>3181.32548752516</v>
      </c>
      <c r="M31" s="29" t="n">
        <f aca="false">M30+L31</f>
        <v>-6391.22326499039</v>
      </c>
      <c r="N31" s="27" t="n">
        <f aca="false">IF(M31&gt;=0,1,0)</f>
        <v>0</v>
      </c>
    </row>
    <row r="32" customFormat="false" ht="15" hidden="false" customHeight="false" outlineLevel="0" collapsed="false">
      <c r="A32" s="27" t="n">
        <f aca="false">A31+1</f>
        <v>27</v>
      </c>
      <c r="B32" s="28" t="n">
        <f aca="false">MIN(Premissas!$G$11,B31*(1-Premissas!$G$12)+IF(A32=1,Premissas!$G$9,Premissas!$G$10*Premissas!$B$26))</f>
        <v>93.5228279695482</v>
      </c>
      <c r="C32" s="28" t="n">
        <f aca="false">MAX(0,B32-B31*(1-Premissas!$G$12))</f>
        <v>4</v>
      </c>
      <c r="D32" s="29" t="n">
        <f aca="false">B32*Premissas!$G$7*Premissas!$B$27</f>
        <v>7481.82623756385</v>
      </c>
      <c r="E32" s="29" t="n">
        <f aca="false">C32*Premissas!$G$8*Premissas!$B$27</f>
        <v>24000</v>
      </c>
      <c r="F32" s="29" t="n">
        <f aca="false">D32+E32</f>
        <v>31481.8262375639</v>
      </c>
      <c r="G32" s="29" t="n">
        <f aca="false">F32*Premissas!$G$14</f>
        <v>1888.90957425383</v>
      </c>
      <c r="H32" s="29" t="n">
        <f aca="false">F32*Premissas!$G$13</f>
        <v>17315.0044306601</v>
      </c>
      <c r="I32" s="29" t="n">
        <f aca="false">F32-G32-H32</f>
        <v>12277.9122326499</v>
      </c>
      <c r="J32" s="29" t="n">
        <f aca="false">Premissas!$G$15+Premissas!$G$16</f>
        <v>9000</v>
      </c>
      <c r="K32" s="29" t="n">
        <f aca="false">I32-J32</f>
        <v>3277.9122326499</v>
      </c>
      <c r="L32" s="29" t="n">
        <f aca="false">K32</f>
        <v>3277.9122326499</v>
      </c>
      <c r="M32" s="29" t="n">
        <f aca="false">M31+L32</f>
        <v>-3113.31103234049</v>
      </c>
      <c r="N32" s="27" t="n">
        <f aca="false">IF(M32&gt;=0,1,0)</f>
        <v>0</v>
      </c>
    </row>
    <row r="33" customFormat="false" ht="15" hidden="false" customHeight="false" outlineLevel="0" collapsed="false">
      <c r="A33" s="27" t="n">
        <f aca="false">A32+1</f>
        <v>28</v>
      </c>
      <c r="B33" s="28" t="n">
        <f aca="false">MIN(Premissas!$G$11,B32*(1-Premissas!$G$12)+IF(A33=1,Premissas!$G$9,Premissas!$G$10*Premissas!$B$26))</f>
        <v>96.5875996898527</v>
      </c>
      <c r="C33" s="28" t="n">
        <f aca="false">MAX(0,B33-B32*(1-Premissas!$G$12))</f>
        <v>4</v>
      </c>
      <c r="D33" s="29" t="n">
        <f aca="false">B33*Premissas!$G$7*Premissas!$B$27</f>
        <v>7727.00797518822</v>
      </c>
      <c r="E33" s="29" t="n">
        <f aca="false">C33*Premissas!$G$8*Premissas!$B$27</f>
        <v>24000</v>
      </c>
      <c r="F33" s="29" t="n">
        <f aca="false">D33+E33</f>
        <v>31727.0079751882</v>
      </c>
      <c r="G33" s="29" t="n">
        <f aca="false">F33*Premissas!$G$14</f>
        <v>1903.62047851129</v>
      </c>
      <c r="H33" s="29" t="n">
        <f aca="false">F33*Premissas!$G$13</f>
        <v>17449.8543863535</v>
      </c>
      <c r="I33" s="29" t="n">
        <f aca="false">F33-G33-H33</f>
        <v>12373.5331103234</v>
      </c>
      <c r="J33" s="29" t="n">
        <f aca="false">Premissas!$G$15+Premissas!$G$16</f>
        <v>9000</v>
      </c>
      <c r="K33" s="29" t="n">
        <f aca="false">I33-J33</f>
        <v>3373.5331103234</v>
      </c>
      <c r="L33" s="29" t="n">
        <f aca="false">K33</f>
        <v>3373.5331103234</v>
      </c>
      <c r="M33" s="29" t="n">
        <f aca="false">M32+L33</f>
        <v>260.222077982915</v>
      </c>
      <c r="N33" s="27" t="n">
        <f aca="false">IF(M33&gt;=0,1,0)</f>
        <v>1</v>
      </c>
    </row>
    <row r="34" customFormat="false" ht="15" hidden="false" customHeight="false" outlineLevel="0" collapsed="false">
      <c r="A34" s="27" t="n">
        <f aca="false">A33+1</f>
        <v>29</v>
      </c>
      <c r="B34" s="28" t="n">
        <f aca="false">MIN(Premissas!$G$11,B33*(1-Premissas!$G$12)+IF(A34=1,Premissas!$G$9,Premissas!$G$10*Premissas!$B$26))</f>
        <v>99.6217236929542</v>
      </c>
      <c r="C34" s="28" t="n">
        <f aca="false">MAX(0,B34-B33*(1-Premissas!$G$12))</f>
        <v>4</v>
      </c>
      <c r="D34" s="29" t="n">
        <f aca="false">B34*Premissas!$G$7*Premissas!$B$27</f>
        <v>7969.73789543633</v>
      </c>
      <c r="E34" s="29" t="n">
        <f aca="false">C34*Premissas!$G$8*Premissas!$B$27</f>
        <v>24000</v>
      </c>
      <c r="F34" s="29" t="n">
        <f aca="false">D34+E34</f>
        <v>31969.7378954363</v>
      </c>
      <c r="G34" s="29" t="n">
        <f aca="false">F34*Premissas!$G$14</f>
        <v>1918.18427372618</v>
      </c>
      <c r="H34" s="29" t="n">
        <f aca="false">F34*Premissas!$G$13</f>
        <v>17583.35584249</v>
      </c>
      <c r="I34" s="29" t="n">
        <f aca="false">F34-G34-H34</f>
        <v>12468.1977792202</v>
      </c>
      <c r="J34" s="29" t="n">
        <f aca="false">Premissas!$G$15+Premissas!$G$16</f>
        <v>9000</v>
      </c>
      <c r="K34" s="29" t="n">
        <f aca="false">I34-J34</f>
        <v>3468.19777922017</v>
      </c>
      <c r="L34" s="29" t="n">
        <f aca="false">K34</f>
        <v>3468.19777922017</v>
      </c>
      <c r="M34" s="29" t="n">
        <f aca="false">M33+L34</f>
        <v>3728.41985720308</v>
      </c>
      <c r="N34" s="27" t="n">
        <f aca="false">IF(M34&gt;=0,1,0)</f>
        <v>1</v>
      </c>
    </row>
    <row r="35" customFormat="false" ht="15" hidden="false" customHeight="false" outlineLevel="0" collapsed="false">
      <c r="A35" s="27" t="n">
        <f aca="false">A34+1</f>
        <v>30</v>
      </c>
      <c r="B35" s="28" t="n">
        <f aca="false">MIN(Premissas!$G$11,B34*(1-Premissas!$G$12)+IF(A35=1,Premissas!$G$9,Premissas!$G$10*Premissas!$B$26))</f>
        <v>102.625506456025</v>
      </c>
      <c r="C35" s="28" t="n">
        <f aca="false">MAX(0,B35-B34*(1-Premissas!$G$12))</f>
        <v>4</v>
      </c>
      <c r="D35" s="29" t="n">
        <f aca="false">B35*Premissas!$G$7*Premissas!$B$27</f>
        <v>8210.04051648197</v>
      </c>
      <c r="E35" s="29" t="n">
        <f aca="false">C35*Premissas!$G$8*Premissas!$B$27</f>
        <v>24000</v>
      </c>
      <c r="F35" s="29" t="n">
        <f aca="false">D35+E35</f>
        <v>32210.040516482</v>
      </c>
      <c r="G35" s="29" t="n">
        <f aca="false">F35*Premissas!$G$14</f>
        <v>1932.60243098892</v>
      </c>
      <c r="H35" s="29" t="n">
        <f aca="false">F35*Premissas!$G$13</f>
        <v>17715.5222840651</v>
      </c>
      <c r="I35" s="29" t="n">
        <f aca="false">F35-G35-H35</f>
        <v>12561.915801428</v>
      </c>
      <c r="J35" s="29" t="n">
        <f aca="false">Premissas!$G$15+Premissas!$G$16</f>
        <v>9000</v>
      </c>
      <c r="K35" s="29" t="n">
        <f aca="false">I35-J35</f>
        <v>3561.91580142797</v>
      </c>
      <c r="L35" s="29" t="n">
        <f aca="false">K35</f>
        <v>3561.91580142797</v>
      </c>
      <c r="M35" s="29" t="n">
        <f aca="false">M34+L35</f>
        <v>7290.33565863105</v>
      </c>
      <c r="N35" s="27" t="n">
        <f aca="false">IF(M35&gt;=0,1,0)</f>
        <v>1</v>
      </c>
    </row>
    <row r="36" customFormat="false" ht="15" hidden="false" customHeight="false" outlineLevel="0" collapsed="false">
      <c r="A36" s="27" t="n">
        <f aca="false">A35+1</f>
        <v>31</v>
      </c>
      <c r="B36" s="28" t="n">
        <f aca="false">MIN(Premissas!$G$11,B35*(1-Premissas!$G$12)+IF(A36=1,Premissas!$G$9,Premissas!$G$10*Premissas!$B$26))</f>
        <v>105.599251391464</v>
      </c>
      <c r="C36" s="28" t="n">
        <f aca="false">MAX(0,B36-B35*(1-Premissas!$G$12))</f>
        <v>4</v>
      </c>
      <c r="D36" s="29" t="n">
        <f aca="false">B36*Premissas!$G$7*Premissas!$B$27</f>
        <v>8447.94011131715</v>
      </c>
      <c r="E36" s="29" t="n">
        <f aca="false">C36*Premissas!$G$8*Premissas!$B$27</f>
        <v>24000</v>
      </c>
      <c r="F36" s="29" t="n">
        <f aca="false">D36+E36</f>
        <v>32447.9401113171</v>
      </c>
      <c r="G36" s="29" t="n">
        <f aca="false">F36*Premissas!$G$14</f>
        <v>1946.87640667903</v>
      </c>
      <c r="H36" s="29" t="n">
        <f aca="false">F36*Premissas!$G$13</f>
        <v>17846.3670612244</v>
      </c>
      <c r="I36" s="29" t="n">
        <f aca="false">F36-G36-H36</f>
        <v>12654.6966434137</v>
      </c>
      <c r="J36" s="29" t="n">
        <f aca="false">Premissas!$G$15+Premissas!$G$16</f>
        <v>9000</v>
      </c>
      <c r="K36" s="29" t="n">
        <f aca="false">I36-J36</f>
        <v>3654.69664341369</v>
      </c>
      <c r="L36" s="29" t="n">
        <f aca="false">K36</f>
        <v>3654.69664341369</v>
      </c>
      <c r="M36" s="29" t="n">
        <f aca="false">M35+L36</f>
        <v>10945.0323020447</v>
      </c>
      <c r="N36" s="27" t="n">
        <f aca="false">IF(M36&gt;=0,1,0)</f>
        <v>1</v>
      </c>
    </row>
    <row r="37" customFormat="false" ht="15" hidden="false" customHeight="false" outlineLevel="0" collapsed="false">
      <c r="A37" s="27" t="n">
        <f aca="false">A36+1</f>
        <v>32</v>
      </c>
      <c r="B37" s="28" t="n">
        <f aca="false">MIN(Premissas!$G$11,B36*(1-Premissas!$G$12)+IF(A37=1,Premissas!$G$9,Premissas!$G$10*Premissas!$B$26))</f>
        <v>108.54325887755</v>
      </c>
      <c r="C37" s="28" t="n">
        <f aca="false">MAX(0,B37-B36*(1-Premissas!$G$12))</f>
        <v>4</v>
      </c>
      <c r="D37" s="29" t="n">
        <f aca="false">B37*Premissas!$G$7*Premissas!$B$27</f>
        <v>8683.46071020398</v>
      </c>
      <c r="E37" s="29" t="n">
        <f aca="false">C37*Premissas!$G$8*Premissas!$B$27</f>
        <v>24000</v>
      </c>
      <c r="F37" s="29" t="n">
        <f aca="false">D37+E37</f>
        <v>32683.460710204</v>
      </c>
      <c r="G37" s="29" t="n">
        <f aca="false">F37*Premissas!$G$14</f>
        <v>1961.00764261224</v>
      </c>
      <c r="H37" s="29" t="n">
        <f aca="false">F37*Premissas!$G$13</f>
        <v>17975.9033906122</v>
      </c>
      <c r="I37" s="29" t="n">
        <f aca="false">F37-G37-H37</f>
        <v>12746.5496769796</v>
      </c>
      <c r="J37" s="29" t="n">
        <f aca="false">Premissas!$G$15+Premissas!$G$16</f>
        <v>9000</v>
      </c>
      <c r="K37" s="29" t="n">
        <f aca="false">I37-J37</f>
        <v>3746.54967697955</v>
      </c>
      <c r="L37" s="29" t="n">
        <f aca="false">K37</f>
        <v>3746.54967697955</v>
      </c>
      <c r="M37" s="29" t="n">
        <f aca="false">M36+L37</f>
        <v>14691.5819790243</v>
      </c>
      <c r="N37" s="27" t="n">
        <f aca="false">IF(M37&gt;=0,1,0)</f>
        <v>1</v>
      </c>
    </row>
    <row r="38" customFormat="false" ht="15" hidden="false" customHeight="false" outlineLevel="0" collapsed="false">
      <c r="A38" s="27" t="n">
        <f aca="false">A37+1</f>
        <v>33</v>
      </c>
      <c r="B38" s="28" t="n">
        <f aca="false">MIN(Premissas!$G$11,B37*(1-Premissas!$G$12)+IF(A38=1,Premissas!$G$9,Premissas!$G$10*Premissas!$B$26))</f>
        <v>111.457826288774</v>
      </c>
      <c r="C38" s="28" t="n">
        <f aca="false">MAX(0,B38-B37*(1-Premissas!$G$12))</f>
        <v>4</v>
      </c>
      <c r="D38" s="29" t="n">
        <f aca="false">B38*Premissas!$G$7*Premissas!$B$27</f>
        <v>8916.62610310194</v>
      </c>
      <c r="E38" s="29" t="n">
        <f aca="false">C38*Premissas!$G$8*Premissas!$B$27</f>
        <v>24000</v>
      </c>
      <c r="F38" s="29" t="n">
        <f aca="false">D38+E38</f>
        <v>32916.6261031019</v>
      </c>
      <c r="G38" s="29" t="n">
        <f aca="false">F38*Premissas!$G$14</f>
        <v>1974.99756618612</v>
      </c>
      <c r="H38" s="29" t="n">
        <f aca="false">F38*Premissas!$G$13</f>
        <v>18104.1443567061</v>
      </c>
      <c r="I38" s="29" t="n">
        <f aca="false">F38-G38-H38</f>
        <v>12837.4841802098</v>
      </c>
      <c r="J38" s="29" t="n">
        <f aca="false">Premissas!$G$15+Premissas!$G$16</f>
        <v>9000</v>
      </c>
      <c r="K38" s="29" t="n">
        <f aca="false">I38-J38</f>
        <v>3837.48418020975</v>
      </c>
      <c r="L38" s="29" t="n">
        <f aca="false">K38</f>
        <v>3837.48418020975</v>
      </c>
      <c r="M38" s="29" t="n">
        <f aca="false">M37+L38</f>
        <v>18529.066159234</v>
      </c>
      <c r="N38" s="27" t="n">
        <f aca="false">IF(M38&gt;=0,1,0)</f>
        <v>1</v>
      </c>
    </row>
    <row r="39" customFormat="false" ht="15" hidden="false" customHeight="false" outlineLevel="0" collapsed="false">
      <c r="A39" s="27" t="n">
        <f aca="false">A38+1</f>
        <v>34</v>
      </c>
      <c r="B39" s="28" t="n">
        <f aca="false">MIN(Premissas!$G$11,B38*(1-Premissas!$G$12)+IF(A39=1,Premissas!$G$9,Premissas!$G$10*Premissas!$B$26))</f>
        <v>114.343248025886</v>
      </c>
      <c r="C39" s="28" t="n">
        <f aca="false">MAX(0,B39-B38*(1-Premissas!$G$12))</f>
        <v>4</v>
      </c>
      <c r="D39" s="29" t="n">
        <f aca="false">B39*Premissas!$G$7*Premissas!$B$27</f>
        <v>9147.45984207092</v>
      </c>
      <c r="E39" s="29" t="n">
        <f aca="false">C39*Premissas!$G$8*Premissas!$B$27</f>
        <v>24000</v>
      </c>
      <c r="F39" s="29" t="n">
        <f aca="false">D39+E39</f>
        <v>33147.4598420709</v>
      </c>
      <c r="G39" s="29" t="n">
        <f aca="false">F39*Premissas!$G$14</f>
        <v>1988.84759052426</v>
      </c>
      <c r="H39" s="29" t="n">
        <f aca="false">F39*Premissas!$G$13</f>
        <v>18231.102913139</v>
      </c>
      <c r="I39" s="29" t="n">
        <f aca="false">F39-G39-H39</f>
        <v>12927.5093384077</v>
      </c>
      <c r="J39" s="29" t="n">
        <f aca="false">Premissas!$G$15+Premissas!$G$16</f>
        <v>9000</v>
      </c>
      <c r="K39" s="29" t="n">
        <f aca="false">I39-J39</f>
        <v>3927.50933840766</v>
      </c>
      <c r="L39" s="29" t="n">
        <f aca="false">K39</f>
        <v>3927.50933840766</v>
      </c>
      <c r="M39" s="29" t="n">
        <f aca="false">M38+L39</f>
        <v>22456.5754976417</v>
      </c>
      <c r="N39" s="27" t="n">
        <f aca="false">IF(M39&gt;=0,1,0)</f>
        <v>1</v>
      </c>
    </row>
    <row r="40" customFormat="false" ht="15" hidden="false" customHeight="false" outlineLevel="0" collapsed="false">
      <c r="A40" s="27" t="n">
        <f aca="false">A39+1</f>
        <v>35</v>
      </c>
      <c r="B40" s="28" t="n">
        <f aca="false">MIN(Premissas!$G$11,B39*(1-Premissas!$G$12)+IF(A40=1,Premissas!$G$9,Premissas!$G$10*Premissas!$B$26))</f>
        <v>117.199815545628</v>
      </c>
      <c r="C40" s="28" t="n">
        <f aca="false">MAX(0,B40-B39*(1-Premissas!$G$12))</f>
        <v>4</v>
      </c>
      <c r="D40" s="29" t="n">
        <f aca="false">B40*Premissas!$G$7*Premissas!$B$27</f>
        <v>9375.98524365021</v>
      </c>
      <c r="E40" s="29" t="n">
        <f aca="false">C40*Premissas!$G$8*Premissas!$B$27</f>
        <v>24000</v>
      </c>
      <c r="F40" s="29" t="n">
        <f aca="false">D40+E40</f>
        <v>33375.9852436502</v>
      </c>
      <c r="G40" s="29" t="n">
        <f aca="false">F40*Premissas!$G$14</f>
        <v>2002.55911461901</v>
      </c>
      <c r="H40" s="29" t="n">
        <f aca="false">F40*Premissas!$G$13</f>
        <v>18356.7918840076</v>
      </c>
      <c r="I40" s="29" t="n">
        <f aca="false">F40-G40-H40</f>
        <v>13016.6342450236</v>
      </c>
      <c r="J40" s="29" t="n">
        <f aca="false">Premissas!$G$15+Premissas!$G$16</f>
        <v>9000</v>
      </c>
      <c r="K40" s="29" t="n">
        <f aca="false">I40-J40</f>
        <v>4016.63424502358</v>
      </c>
      <c r="L40" s="29" t="n">
        <f aca="false">K40</f>
        <v>4016.63424502358</v>
      </c>
      <c r="M40" s="29" t="n">
        <f aca="false">M39+L40</f>
        <v>26473.2097426653</v>
      </c>
      <c r="N40" s="27" t="n">
        <f aca="false">IF(M40&gt;=0,1,0)</f>
        <v>1</v>
      </c>
    </row>
    <row r="41" customFormat="false" ht="15" hidden="false" customHeight="false" outlineLevel="0" collapsed="false">
      <c r="A41" s="31" t="n">
        <f aca="false">A40+1</f>
        <v>36</v>
      </c>
      <c r="B41" s="32" t="n">
        <f aca="false">MIN(Premissas!$G$11,B40*(1-Premissas!$G$12)+IF(A41=1,Premissas!$G$9,Premissas!$G$10*Premissas!$B$26))</f>
        <v>120.027817390171</v>
      </c>
      <c r="C41" s="32" t="n">
        <f aca="false">MAX(0,B41-B40*(1-Premissas!$G$12))</f>
        <v>4</v>
      </c>
      <c r="D41" s="33" t="n">
        <f aca="false">B41*Premissas!$G$7*Premissas!$B$27</f>
        <v>9602.22539121371</v>
      </c>
      <c r="E41" s="33" t="n">
        <f aca="false">C41*Premissas!$G$8*Premissas!$B$27</f>
        <v>24000</v>
      </c>
      <c r="F41" s="33" t="n">
        <f aca="false">D41+E41</f>
        <v>33602.2253912137</v>
      </c>
      <c r="G41" s="33" t="n">
        <f aca="false">F41*Premissas!$G$14</f>
        <v>2016.13352347282</v>
      </c>
      <c r="H41" s="33" t="n">
        <f aca="false">F41*Premissas!$G$13</f>
        <v>18481.2239651675</v>
      </c>
      <c r="I41" s="33" t="n">
        <f aca="false">F41-G41-H41</f>
        <v>13104.8679025733</v>
      </c>
      <c r="J41" s="33" t="n">
        <f aca="false">Premissas!$G$15+Premissas!$G$16</f>
        <v>9000</v>
      </c>
      <c r="K41" s="33" t="n">
        <f aca="false">I41-J41</f>
        <v>4104.86790257335</v>
      </c>
      <c r="L41" s="33" t="n">
        <f aca="false">K41</f>
        <v>4104.86790257335</v>
      </c>
      <c r="M41" s="33" t="n">
        <f aca="false">M40+L41</f>
        <v>30578.0776452386</v>
      </c>
      <c r="N41" s="31" t="n">
        <f aca="false">IF(M41&gt;=0,1,0)</f>
        <v>1</v>
      </c>
    </row>
    <row r="43" customFormat="false" ht="15" hidden="false" customHeight="false" outlineLevel="0" collapsed="false">
      <c r="A43" s="15" t="s">
        <v>147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6" min="4" style="0" width="16"/>
    <col collapsed="false" customWidth="true" hidden="false" outlineLevel="0" max="7" min="7" style="0" width="14"/>
    <col collapsed="false" customWidth="true" hidden="false" outlineLevel="0" max="13" min="8" style="0" width="16"/>
    <col collapsed="false" customWidth="true" hidden="false" outlineLevel="0" max="14" min="14" style="0" width="12"/>
  </cols>
  <sheetData>
    <row r="1" customFormat="false" ht="17.35" hidden="false" customHeight="false" outlineLevel="0" collapsed="false">
      <c r="A1" s="1" t="s">
        <v>153</v>
      </c>
    </row>
    <row r="2" customFormat="false" ht="15" hidden="false" customHeight="false" outlineLevel="0" collapsed="false">
      <c r="A2" s="0" t="s">
        <v>33</v>
      </c>
      <c r="B2" s="5" t="str">
        <f aca="false">Premissas!$B$19</f>
        <v>Base</v>
      </c>
    </row>
    <row r="4" customFormat="false" ht="45" hidden="false" customHeight="true" outlineLevel="0" collapsed="false">
      <c r="A4" s="6" t="s">
        <v>133</v>
      </c>
      <c r="B4" s="6" t="s">
        <v>134</v>
      </c>
      <c r="C4" s="6" t="s">
        <v>135</v>
      </c>
      <c r="D4" s="6" t="s">
        <v>136</v>
      </c>
      <c r="E4" s="6" t="s">
        <v>137</v>
      </c>
      <c r="F4" s="6" t="s">
        <v>138</v>
      </c>
      <c r="G4" s="6" t="s">
        <v>139</v>
      </c>
      <c r="H4" s="6" t="s">
        <v>140</v>
      </c>
      <c r="I4" s="6" t="s">
        <v>141</v>
      </c>
      <c r="J4" s="6" t="s">
        <v>142</v>
      </c>
      <c r="K4" s="6" t="s">
        <v>143</v>
      </c>
      <c r="L4" s="6" t="s">
        <v>144</v>
      </c>
      <c r="M4" s="6" t="s">
        <v>145</v>
      </c>
      <c r="N4" s="6" t="s">
        <v>146</v>
      </c>
    </row>
    <row r="5" customFormat="false" ht="15" hidden="false" customHeight="false" outlineLevel="0" collapsed="false">
      <c r="A5" s="27" t="n">
        <v>0</v>
      </c>
      <c r="B5" s="28" t="n">
        <v>0</v>
      </c>
      <c r="C5" s="28" t="n">
        <v>0</v>
      </c>
      <c r="D5" s="29" t="n">
        <v>0</v>
      </c>
      <c r="E5" s="29" t="n">
        <v>0</v>
      </c>
      <c r="F5" s="29" t="n">
        <v>0</v>
      </c>
      <c r="G5" s="29" t="n">
        <v>0</v>
      </c>
      <c r="H5" s="29" t="n">
        <v>0</v>
      </c>
      <c r="I5" s="29" t="n">
        <v>0</v>
      </c>
      <c r="J5" s="29" t="n">
        <v>0</v>
      </c>
      <c r="K5" s="29" t="n">
        <v>0</v>
      </c>
      <c r="L5" s="30" t="n">
        <f aca="false">-Premissas!$H$6</f>
        <v>-100000</v>
      </c>
      <c r="M5" s="29" t="n">
        <f aca="false">L5</f>
        <v>-100000</v>
      </c>
      <c r="N5" s="27" t="n">
        <f aca="false">IF(M5&gt;=0,1,0)</f>
        <v>0</v>
      </c>
    </row>
    <row r="6" customFormat="false" ht="15" hidden="false" customHeight="false" outlineLevel="0" collapsed="false">
      <c r="A6" s="27" t="n">
        <f aca="false">A5+1</f>
        <v>1</v>
      </c>
      <c r="B6" s="28" t="n">
        <f aca="false">MIN(Premissas!$H$11,B5*(1-Premissas!$H$12)+IF(A6=1,Premissas!$H$9,Premissas!$H$10*Premissas!$B$26))</f>
        <v>2</v>
      </c>
      <c r="C6" s="28" t="n">
        <f aca="false">MAX(0,B6-B5*(1-Premissas!$H$12))</f>
        <v>2</v>
      </c>
      <c r="D6" s="29" t="n">
        <f aca="false">B6*Premissas!$H$7*Premissas!$B$27</f>
        <v>5000</v>
      </c>
      <c r="E6" s="29" t="n">
        <f aca="false">C6*Premissas!$H$8*Premissas!$B$27</f>
        <v>0</v>
      </c>
      <c r="F6" s="29" t="n">
        <f aca="false">D6+E6</f>
        <v>5000</v>
      </c>
      <c r="G6" s="29" t="n">
        <f aca="false">F6*Premissas!$H$14</f>
        <v>300</v>
      </c>
      <c r="H6" s="29" t="n">
        <f aca="false">F6*Premissas!$H$13</f>
        <v>2250</v>
      </c>
      <c r="I6" s="29" t="n">
        <f aca="false">F6-G6-H6</f>
        <v>2450</v>
      </c>
      <c r="J6" s="29" t="n">
        <f aca="false">Premissas!$H$15+Premissas!$H$16</f>
        <v>13000</v>
      </c>
      <c r="K6" s="29" t="n">
        <f aca="false">I6-J6</f>
        <v>-10550</v>
      </c>
      <c r="L6" s="29" t="n">
        <f aca="false">K6</f>
        <v>-10550</v>
      </c>
      <c r="M6" s="29" t="n">
        <f aca="false">M5+L6</f>
        <v>-110550</v>
      </c>
      <c r="N6" s="27" t="n">
        <f aca="false">IF(M6&gt;=0,1,0)</f>
        <v>0</v>
      </c>
    </row>
    <row r="7" customFormat="false" ht="15" hidden="false" customHeight="false" outlineLevel="0" collapsed="false">
      <c r="A7" s="27" t="n">
        <f aca="false">A6+1</f>
        <v>2</v>
      </c>
      <c r="B7" s="28" t="n">
        <f aca="false">MIN(Premissas!$H$11,B6*(1-Premissas!$H$12)+IF(A7=1,Premissas!$H$9,Premissas!$H$10*Premissas!$B$26))</f>
        <v>3.44</v>
      </c>
      <c r="C7" s="28" t="n">
        <f aca="false">MAX(0,B7-B6*(1-Premissas!$H$12))</f>
        <v>1.5</v>
      </c>
      <c r="D7" s="29" t="n">
        <f aca="false">B7*Premissas!$H$7*Premissas!$B$27</f>
        <v>8600</v>
      </c>
      <c r="E7" s="29" t="n">
        <f aca="false">C7*Premissas!$H$8*Premissas!$B$27</f>
        <v>0</v>
      </c>
      <c r="F7" s="29" t="n">
        <f aca="false">D7+E7</f>
        <v>8600</v>
      </c>
      <c r="G7" s="29" t="n">
        <f aca="false">F7*Premissas!$H$14</f>
        <v>516</v>
      </c>
      <c r="H7" s="29" t="n">
        <f aca="false">F7*Premissas!$H$13</f>
        <v>3870</v>
      </c>
      <c r="I7" s="29" t="n">
        <f aca="false">F7-G7-H7</f>
        <v>4214</v>
      </c>
      <c r="J7" s="29" t="n">
        <f aca="false">Premissas!$H$15+Premissas!$H$16</f>
        <v>13000</v>
      </c>
      <c r="K7" s="29" t="n">
        <f aca="false">I7-J7</f>
        <v>-8786</v>
      </c>
      <c r="L7" s="29" t="n">
        <f aca="false">K7</f>
        <v>-8786</v>
      </c>
      <c r="M7" s="29" t="n">
        <f aca="false">M6+L7</f>
        <v>-119336</v>
      </c>
      <c r="N7" s="27" t="n">
        <f aca="false">IF(M7&gt;=0,1,0)</f>
        <v>0</v>
      </c>
    </row>
    <row r="8" customFormat="false" ht="15" hidden="false" customHeight="false" outlineLevel="0" collapsed="false">
      <c r="A8" s="27" t="n">
        <f aca="false">A7+1</f>
        <v>3</v>
      </c>
      <c r="B8" s="28" t="n">
        <f aca="false">MIN(Premissas!$H$11,B7*(1-Premissas!$H$12)+IF(A8=1,Premissas!$H$9,Premissas!$H$10*Premissas!$B$26))</f>
        <v>4.8368</v>
      </c>
      <c r="C8" s="28" t="n">
        <f aca="false">MAX(0,B8-B7*(1-Premissas!$H$12))</f>
        <v>1.5</v>
      </c>
      <c r="D8" s="29" t="n">
        <f aca="false">B8*Premissas!$H$7*Premissas!$B$27</f>
        <v>12092</v>
      </c>
      <c r="E8" s="29" t="n">
        <f aca="false">C8*Premissas!$H$8*Premissas!$B$27</f>
        <v>0</v>
      </c>
      <c r="F8" s="29" t="n">
        <f aca="false">D8+E8</f>
        <v>12092</v>
      </c>
      <c r="G8" s="29" t="n">
        <f aca="false">F8*Premissas!$H$14</f>
        <v>725.52</v>
      </c>
      <c r="H8" s="29" t="n">
        <f aca="false">F8*Premissas!$H$13</f>
        <v>5441.4</v>
      </c>
      <c r="I8" s="29" t="n">
        <f aca="false">F8-G8-H8</f>
        <v>5925.08</v>
      </c>
      <c r="J8" s="29" t="n">
        <f aca="false">Premissas!$H$15+Premissas!$H$16</f>
        <v>13000</v>
      </c>
      <c r="K8" s="29" t="n">
        <f aca="false">I8-J8</f>
        <v>-7074.92</v>
      </c>
      <c r="L8" s="29" t="n">
        <f aca="false">K8</f>
        <v>-7074.92</v>
      </c>
      <c r="M8" s="29" t="n">
        <f aca="false">M7+L8</f>
        <v>-126410.92</v>
      </c>
      <c r="N8" s="27" t="n">
        <f aca="false">IF(M8&gt;=0,1,0)</f>
        <v>0</v>
      </c>
    </row>
    <row r="9" customFormat="false" ht="15" hidden="false" customHeight="false" outlineLevel="0" collapsed="false">
      <c r="A9" s="27" t="n">
        <f aca="false">A8+1</f>
        <v>4</v>
      </c>
      <c r="B9" s="28" t="n">
        <f aca="false">MIN(Premissas!$H$11,B8*(1-Premissas!$H$12)+IF(A9=1,Premissas!$H$9,Premissas!$H$10*Premissas!$B$26))</f>
        <v>6.191696</v>
      </c>
      <c r="C9" s="28" t="n">
        <f aca="false">MAX(0,B9-B8*(1-Premissas!$H$12))</f>
        <v>1.5</v>
      </c>
      <c r="D9" s="29" t="n">
        <f aca="false">B9*Premissas!$H$7*Premissas!$B$27</f>
        <v>15479.24</v>
      </c>
      <c r="E9" s="29" t="n">
        <f aca="false">C9*Premissas!$H$8*Premissas!$B$27</f>
        <v>0</v>
      </c>
      <c r="F9" s="29" t="n">
        <f aca="false">D9+E9</f>
        <v>15479.24</v>
      </c>
      <c r="G9" s="29" t="n">
        <f aca="false">F9*Premissas!$H$14</f>
        <v>928.7544</v>
      </c>
      <c r="H9" s="29" t="n">
        <f aca="false">F9*Premissas!$H$13</f>
        <v>6965.658</v>
      </c>
      <c r="I9" s="29" t="n">
        <f aca="false">F9-G9-H9</f>
        <v>7584.8276</v>
      </c>
      <c r="J9" s="29" t="n">
        <f aca="false">Premissas!$H$15+Premissas!$H$16</f>
        <v>13000</v>
      </c>
      <c r="K9" s="29" t="n">
        <f aca="false">I9-J9</f>
        <v>-5415.1724</v>
      </c>
      <c r="L9" s="29" t="n">
        <f aca="false">K9</f>
        <v>-5415.1724</v>
      </c>
      <c r="M9" s="29" t="n">
        <f aca="false">M8+L9</f>
        <v>-131826.0924</v>
      </c>
      <c r="N9" s="27" t="n">
        <f aca="false">IF(M9&gt;=0,1,0)</f>
        <v>0</v>
      </c>
    </row>
    <row r="10" customFormat="false" ht="15" hidden="false" customHeight="false" outlineLevel="0" collapsed="false">
      <c r="A10" s="27" t="n">
        <f aca="false">A9+1</f>
        <v>5</v>
      </c>
      <c r="B10" s="28" t="n">
        <f aca="false">MIN(Premissas!$H$11,B9*(1-Premissas!$H$12)+IF(A10=1,Premissas!$H$9,Premissas!$H$10*Premissas!$B$26))</f>
        <v>7.50594512</v>
      </c>
      <c r="C10" s="28" t="n">
        <f aca="false">MAX(0,B10-B9*(1-Premissas!$H$12))</f>
        <v>1.5</v>
      </c>
      <c r="D10" s="29" t="n">
        <f aca="false">B10*Premissas!$H$7*Premissas!$B$27</f>
        <v>18764.8628</v>
      </c>
      <c r="E10" s="29" t="n">
        <f aca="false">C10*Premissas!$H$8*Premissas!$B$27</f>
        <v>0</v>
      </c>
      <c r="F10" s="29" t="n">
        <f aca="false">D10+E10</f>
        <v>18764.8628</v>
      </c>
      <c r="G10" s="29" t="n">
        <f aca="false">F10*Premissas!$H$14</f>
        <v>1125.891768</v>
      </c>
      <c r="H10" s="29" t="n">
        <f aca="false">F10*Premissas!$H$13</f>
        <v>8444.18826</v>
      </c>
      <c r="I10" s="29" t="n">
        <f aca="false">F10-G10-H10</f>
        <v>9194.782772</v>
      </c>
      <c r="J10" s="29" t="n">
        <f aca="false">Premissas!$H$15+Premissas!$H$16</f>
        <v>13000</v>
      </c>
      <c r="K10" s="29" t="n">
        <f aca="false">I10-J10</f>
        <v>-3805.217228</v>
      </c>
      <c r="L10" s="29" t="n">
        <f aca="false">K10</f>
        <v>-3805.217228</v>
      </c>
      <c r="M10" s="29" t="n">
        <f aca="false">M9+L10</f>
        <v>-135631.309628</v>
      </c>
      <c r="N10" s="27" t="n">
        <f aca="false">IF(M10&gt;=0,1,0)</f>
        <v>0</v>
      </c>
    </row>
    <row r="11" customFormat="false" ht="15" hidden="false" customHeight="false" outlineLevel="0" collapsed="false">
      <c r="A11" s="27" t="n">
        <f aca="false">A10+1</f>
        <v>6</v>
      </c>
      <c r="B11" s="28" t="n">
        <f aca="false">MIN(Premissas!$H$11,B10*(1-Premissas!$H$12)+IF(A11=1,Premissas!$H$9,Premissas!$H$10*Premissas!$B$26))</f>
        <v>8.7807667664</v>
      </c>
      <c r="C11" s="28" t="n">
        <f aca="false">MAX(0,B11-B10*(1-Premissas!$H$12))</f>
        <v>1.5</v>
      </c>
      <c r="D11" s="29" t="n">
        <f aca="false">B11*Premissas!$H$7*Premissas!$B$27</f>
        <v>21951.916916</v>
      </c>
      <c r="E11" s="29" t="n">
        <f aca="false">C11*Premissas!$H$8*Premissas!$B$27</f>
        <v>0</v>
      </c>
      <c r="F11" s="29" t="n">
        <f aca="false">D11+E11</f>
        <v>21951.916916</v>
      </c>
      <c r="G11" s="29" t="n">
        <f aca="false">F11*Premissas!$H$14</f>
        <v>1317.11501496</v>
      </c>
      <c r="H11" s="29" t="n">
        <f aca="false">F11*Premissas!$H$13</f>
        <v>9878.3626122</v>
      </c>
      <c r="I11" s="29" t="n">
        <f aca="false">F11-G11-H11</f>
        <v>10756.43928884</v>
      </c>
      <c r="J11" s="29" t="n">
        <f aca="false">Premissas!$H$15+Premissas!$H$16</f>
        <v>13000</v>
      </c>
      <c r="K11" s="29" t="n">
        <f aca="false">I11-J11</f>
        <v>-2243.56071116</v>
      </c>
      <c r="L11" s="29" t="n">
        <f aca="false">K11</f>
        <v>-2243.56071116</v>
      </c>
      <c r="M11" s="29" t="n">
        <f aca="false">M10+L11</f>
        <v>-137874.87033916</v>
      </c>
      <c r="N11" s="27" t="n">
        <f aca="false">IF(M11&gt;=0,1,0)</f>
        <v>0</v>
      </c>
    </row>
    <row r="12" customFormat="false" ht="15" hidden="false" customHeight="false" outlineLevel="0" collapsed="false">
      <c r="A12" s="27" t="n">
        <f aca="false">A11+1</f>
        <v>7</v>
      </c>
      <c r="B12" s="28" t="n">
        <f aca="false">MIN(Premissas!$H$11,B11*(1-Premissas!$H$12)+IF(A12=1,Premissas!$H$9,Premissas!$H$10*Premissas!$B$26))</f>
        <v>10.017343763408</v>
      </c>
      <c r="C12" s="28" t="n">
        <f aca="false">MAX(0,B12-B11*(1-Premissas!$H$12))</f>
        <v>1.5</v>
      </c>
      <c r="D12" s="29" t="n">
        <f aca="false">B12*Premissas!$H$7*Premissas!$B$27</f>
        <v>25043.35940852</v>
      </c>
      <c r="E12" s="29" t="n">
        <f aca="false">C12*Premissas!$H$8*Premissas!$B$27</f>
        <v>0</v>
      </c>
      <c r="F12" s="29" t="n">
        <f aca="false">D12+E12</f>
        <v>25043.35940852</v>
      </c>
      <c r="G12" s="29" t="n">
        <f aca="false">F12*Premissas!$H$14</f>
        <v>1502.6015645112</v>
      </c>
      <c r="H12" s="29" t="n">
        <f aca="false">F12*Premissas!$H$13</f>
        <v>11269.511733834</v>
      </c>
      <c r="I12" s="29" t="n">
        <f aca="false">F12-G12-H12</f>
        <v>12271.2461101748</v>
      </c>
      <c r="J12" s="29" t="n">
        <f aca="false">Premissas!$H$15+Premissas!$H$16</f>
        <v>13000</v>
      </c>
      <c r="K12" s="29" t="n">
        <f aca="false">I12-J12</f>
        <v>-728.753889825202</v>
      </c>
      <c r="L12" s="29" t="n">
        <f aca="false">K12</f>
        <v>-728.753889825202</v>
      </c>
      <c r="M12" s="29" t="n">
        <f aca="false">M11+L12</f>
        <v>-138603.624228985</v>
      </c>
      <c r="N12" s="27" t="n">
        <f aca="false">IF(M12&gt;=0,1,0)</f>
        <v>0</v>
      </c>
    </row>
    <row r="13" customFormat="false" ht="15" hidden="false" customHeight="false" outlineLevel="0" collapsed="false">
      <c r="A13" s="27" t="n">
        <f aca="false">A12+1</f>
        <v>8</v>
      </c>
      <c r="B13" s="28" t="n">
        <f aca="false">MIN(Premissas!$H$11,B12*(1-Premissas!$H$12)+IF(A13=1,Premissas!$H$9,Premissas!$H$10*Premissas!$B$26))</f>
        <v>11.2168234505058</v>
      </c>
      <c r="C13" s="28" t="n">
        <f aca="false">MAX(0,B13-B12*(1-Premissas!$H$12))</f>
        <v>1.5</v>
      </c>
      <c r="D13" s="29" t="n">
        <f aca="false">B13*Premissas!$H$7*Premissas!$B$27</f>
        <v>28042.0586262644</v>
      </c>
      <c r="E13" s="29" t="n">
        <f aca="false">C13*Premissas!$H$8*Premissas!$B$27</f>
        <v>0</v>
      </c>
      <c r="F13" s="29" t="n">
        <f aca="false">D13+E13</f>
        <v>28042.0586262644</v>
      </c>
      <c r="G13" s="29" t="n">
        <f aca="false">F13*Premissas!$H$14</f>
        <v>1682.52351757586</v>
      </c>
      <c r="H13" s="29" t="n">
        <f aca="false">F13*Premissas!$H$13</f>
        <v>12618.926381819</v>
      </c>
      <c r="I13" s="29" t="n">
        <f aca="false">F13-G13-H13</f>
        <v>13740.6087268696</v>
      </c>
      <c r="J13" s="29" t="n">
        <f aca="false">Premissas!$H$15+Premissas!$H$16</f>
        <v>13000</v>
      </c>
      <c r="K13" s="29" t="n">
        <f aca="false">I13-J13</f>
        <v>740.608726869554</v>
      </c>
      <c r="L13" s="29" t="n">
        <f aca="false">K13</f>
        <v>740.608726869554</v>
      </c>
      <c r="M13" s="29" t="n">
        <f aca="false">M12+L13</f>
        <v>-137863.015502116</v>
      </c>
      <c r="N13" s="27" t="n">
        <f aca="false">IF(M13&gt;=0,1,0)</f>
        <v>0</v>
      </c>
    </row>
    <row r="14" customFormat="false" ht="15" hidden="false" customHeight="false" outlineLevel="0" collapsed="false">
      <c r="A14" s="27" t="n">
        <f aca="false">A13+1</f>
        <v>9</v>
      </c>
      <c r="B14" s="28" t="n">
        <f aca="false">MIN(Premissas!$H$11,B13*(1-Premissas!$H$12)+IF(A14=1,Premissas!$H$9,Premissas!$H$10*Premissas!$B$26))</f>
        <v>12.3803187469906</v>
      </c>
      <c r="C14" s="28" t="n">
        <f aca="false">MAX(0,B14-B13*(1-Premissas!$H$12))</f>
        <v>1.5</v>
      </c>
      <c r="D14" s="29" t="n">
        <f aca="false">B14*Premissas!$H$7*Premissas!$B$27</f>
        <v>30950.7968674765</v>
      </c>
      <c r="E14" s="29" t="n">
        <f aca="false">C14*Premissas!$H$8*Premissas!$B$27</f>
        <v>0</v>
      </c>
      <c r="F14" s="29" t="n">
        <f aca="false">D14+E14</f>
        <v>30950.7968674765</v>
      </c>
      <c r="G14" s="29" t="n">
        <f aca="false">F14*Premissas!$H$14</f>
        <v>1857.04781204859</v>
      </c>
      <c r="H14" s="29" t="n">
        <f aca="false">F14*Premissas!$H$13</f>
        <v>13927.8585903644</v>
      </c>
      <c r="I14" s="29" t="n">
        <f aca="false">F14-G14-H14</f>
        <v>15165.8904650635</v>
      </c>
      <c r="J14" s="29" t="n">
        <f aca="false">Premissas!$H$15+Premissas!$H$16</f>
        <v>13000</v>
      </c>
      <c r="K14" s="29" t="n">
        <f aca="false">I14-J14</f>
        <v>2165.89046506347</v>
      </c>
      <c r="L14" s="29" t="n">
        <f aca="false">K14</f>
        <v>2165.89046506347</v>
      </c>
      <c r="M14" s="29" t="n">
        <f aca="false">M13+L14</f>
        <v>-135697.125037052</v>
      </c>
      <c r="N14" s="27" t="n">
        <f aca="false">IF(M14&gt;=0,1,0)</f>
        <v>0</v>
      </c>
    </row>
    <row r="15" customFormat="false" ht="15" hidden="false" customHeight="false" outlineLevel="0" collapsed="false">
      <c r="A15" s="27" t="n">
        <f aca="false">A14+1</f>
        <v>10</v>
      </c>
      <c r="B15" s="28" t="n">
        <f aca="false">MIN(Premissas!$H$11,B14*(1-Premissas!$H$12)+IF(A15=1,Premissas!$H$9,Premissas!$H$10*Premissas!$B$26))</f>
        <v>13.5089091845809</v>
      </c>
      <c r="C15" s="28" t="n">
        <f aca="false">MAX(0,B15-B14*(1-Premissas!$H$12))</f>
        <v>1.5</v>
      </c>
      <c r="D15" s="29" t="n">
        <f aca="false">B15*Premissas!$H$7*Premissas!$B$27</f>
        <v>33772.2729614522</v>
      </c>
      <c r="E15" s="29" t="n">
        <f aca="false">C15*Premissas!$H$8*Premissas!$B$27</f>
        <v>0</v>
      </c>
      <c r="F15" s="29" t="n">
        <f aca="false">D15+E15</f>
        <v>33772.2729614522</v>
      </c>
      <c r="G15" s="29" t="n">
        <f aca="false">F15*Premissas!$H$14</f>
        <v>2026.33637768713</v>
      </c>
      <c r="H15" s="29" t="n">
        <f aca="false">F15*Premissas!$H$13</f>
        <v>15197.5228326535</v>
      </c>
      <c r="I15" s="29" t="n">
        <f aca="false">F15-G15-H15</f>
        <v>16548.4137511116</v>
      </c>
      <c r="J15" s="29" t="n">
        <f aca="false">Premissas!$H$15+Premissas!$H$16</f>
        <v>13000</v>
      </c>
      <c r="K15" s="29" t="n">
        <f aca="false">I15-J15</f>
        <v>3548.41375111156</v>
      </c>
      <c r="L15" s="29" t="n">
        <f aca="false">K15</f>
        <v>3548.41375111156</v>
      </c>
      <c r="M15" s="29" t="n">
        <f aca="false">M14+L15</f>
        <v>-132148.711285941</v>
      </c>
      <c r="N15" s="27" t="n">
        <f aca="false">IF(M15&gt;=0,1,0)</f>
        <v>0</v>
      </c>
    </row>
    <row r="16" customFormat="false" ht="15" hidden="false" customHeight="false" outlineLevel="0" collapsed="false">
      <c r="A16" s="27" t="n">
        <f aca="false">A15+1</f>
        <v>11</v>
      </c>
      <c r="B16" s="28" t="n">
        <f aca="false">MIN(Premissas!$H$11,B15*(1-Premissas!$H$12)+IF(A16=1,Premissas!$H$9,Premissas!$H$10*Premissas!$B$26))</f>
        <v>14.6036419090434</v>
      </c>
      <c r="C16" s="28" t="n">
        <f aca="false">MAX(0,B16-B15*(1-Premissas!$H$12))</f>
        <v>1.5</v>
      </c>
      <c r="D16" s="29" t="n">
        <f aca="false">B16*Premissas!$H$7*Premissas!$B$27</f>
        <v>36509.1047726086</v>
      </c>
      <c r="E16" s="29" t="n">
        <f aca="false">C16*Premissas!$H$8*Premissas!$B$27</f>
        <v>0</v>
      </c>
      <c r="F16" s="29" t="n">
        <f aca="false">D16+E16</f>
        <v>36509.1047726086</v>
      </c>
      <c r="G16" s="29" t="n">
        <f aca="false">F16*Premissas!$H$14</f>
        <v>2190.54628635652</v>
      </c>
      <c r="H16" s="29" t="n">
        <f aca="false">F16*Premissas!$H$13</f>
        <v>16429.0971476739</v>
      </c>
      <c r="I16" s="29" t="n">
        <f aca="false">F16-G16-H16</f>
        <v>17889.4613385782</v>
      </c>
      <c r="J16" s="29" t="n">
        <f aca="false">Premissas!$H$15+Premissas!$H$16</f>
        <v>13000</v>
      </c>
      <c r="K16" s="29" t="n">
        <f aca="false">I16-J16</f>
        <v>4889.46133857821</v>
      </c>
      <c r="L16" s="29" t="n">
        <f aca="false">K16</f>
        <v>4889.46133857821</v>
      </c>
      <c r="M16" s="29" t="n">
        <f aca="false">M15+L16</f>
        <v>-127259.249947362</v>
      </c>
      <c r="N16" s="27" t="n">
        <f aca="false">IF(M16&gt;=0,1,0)</f>
        <v>0</v>
      </c>
    </row>
    <row r="17" customFormat="false" ht="15" hidden="false" customHeight="false" outlineLevel="0" collapsed="false">
      <c r="A17" s="31" t="n">
        <f aca="false">A16+1</f>
        <v>12</v>
      </c>
      <c r="B17" s="32" t="n">
        <f aca="false">MIN(Premissas!$H$11,B16*(1-Premissas!$H$12)+IF(A17=1,Premissas!$H$9,Premissas!$H$10*Premissas!$B$26))</f>
        <v>15.6655326517721</v>
      </c>
      <c r="C17" s="32" t="n">
        <f aca="false">MAX(0,B17-B16*(1-Premissas!$H$12))</f>
        <v>1.5</v>
      </c>
      <c r="D17" s="33" t="n">
        <f aca="false">B17*Premissas!$H$7*Premissas!$B$27</f>
        <v>39163.8316294303</v>
      </c>
      <c r="E17" s="33" t="n">
        <f aca="false">C17*Premissas!$H$8*Premissas!$B$27</f>
        <v>0</v>
      </c>
      <c r="F17" s="33" t="n">
        <f aca="false">D17+E17</f>
        <v>39163.8316294303</v>
      </c>
      <c r="G17" s="33" t="n">
        <f aca="false">F17*Premissas!$H$14</f>
        <v>2349.82989776582</v>
      </c>
      <c r="H17" s="33" t="n">
        <f aca="false">F17*Premissas!$H$13</f>
        <v>17623.7242332437</v>
      </c>
      <c r="I17" s="33" t="n">
        <f aca="false">F17-G17-H17</f>
        <v>19190.2774984209</v>
      </c>
      <c r="J17" s="33" t="n">
        <f aca="false">Premissas!$H$15+Premissas!$H$16</f>
        <v>13000</v>
      </c>
      <c r="K17" s="33" t="n">
        <f aca="false">I17-J17</f>
        <v>6190.27749842087</v>
      </c>
      <c r="L17" s="33" t="n">
        <f aca="false">K17</f>
        <v>6190.27749842087</v>
      </c>
      <c r="M17" s="33" t="n">
        <f aca="false">M16+L17</f>
        <v>-121068.972448942</v>
      </c>
      <c r="N17" s="31" t="n">
        <f aca="false">IF(M17&gt;=0,1,0)</f>
        <v>0</v>
      </c>
    </row>
    <row r="18" customFormat="false" ht="15" hidden="false" customHeight="false" outlineLevel="0" collapsed="false">
      <c r="A18" s="27" t="n">
        <f aca="false">A17+1</f>
        <v>13</v>
      </c>
      <c r="B18" s="28" t="n">
        <f aca="false">MIN(Premissas!$H$11,B17*(1-Premissas!$H$12)+IF(A18=1,Premissas!$H$9,Premissas!$H$10*Premissas!$B$26))</f>
        <v>16.695566672219</v>
      </c>
      <c r="C18" s="28" t="n">
        <f aca="false">MAX(0,B18-B17*(1-Premissas!$H$12))</f>
        <v>1.5</v>
      </c>
      <c r="D18" s="29" t="n">
        <f aca="false">B18*Premissas!$H$7*Premissas!$B$27</f>
        <v>41738.9166805474</v>
      </c>
      <c r="E18" s="29" t="n">
        <f aca="false">C18*Premissas!$H$8*Premissas!$B$27</f>
        <v>0</v>
      </c>
      <c r="F18" s="29" t="n">
        <f aca="false">D18+E18</f>
        <v>41738.9166805474</v>
      </c>
      <c r="G18" s="29" t="n">
        <f aca="false">F18*Premissas!$H$14</f>
        <v>2504.33500083285</v>
      </c>
      <c r="H18" s="29" t="n">
        <f aca="false">F18*Premissas!$H$13</f>
        <v>18782.5125062463</v>
      </c>
      <c r="I18" s="29" t="n">
        <f aca="false">F18-G18-H18</f>
        <v>20452.0691734682</v>
      </c>
      <c r="J18" s="29" t="n">
        <f aca="false">Premissas!$H$15+Premissas!$H$16</f>
        <v>13000</v>
      </c>
      <c r="K18" s="29" t="n">
        <f aca="false">I18-J18</f>
        <v>7452.06917346824</v>
      </c>
      <c r="L18" s="29" t="n">
        <f aca="false">K18</f>
        <v>7452.06917346824</v>
      </c>
      <c r="M18" s="29" t="n">
        <f aca="false">M17+L18</f>
        <v>-113616.903275473</v>
      </c>
      <c r="N18" s="27" t="n">
        <f aca="false">IF(M18&gt;=0,1,0)</f>
        <v>0</v>
      </c>
    </row>
    <row r="19" customFormat="false" ht="15" hidden="false" customHeight="false" outlineLevel="0" collapsed="false">
      <c r="A19" s="27" t="n">
        <f aca="false">A18+1</f>
        <v>14</v>
      </c>
      <c r="B19" s="28" t="n">
        <f aca="false">MIN(Premissas!$H$11,B18*(1-Premissas!$H$12)+IF(A19=1,Premissas!$H$9,Premissas!$H$10*Premissas!$B$26))</f>
        <v>17.6946996720524</v>
      </c>
      <c r="C19" s="28" t="n">
        <f aca="false">MAX(0,B19-B18*(1-Premissas!$H$12))</f>
        <v>1.5</v>
      </c>
      <c r="D19" s="29" t="n">
        <f aca="false">B19*Premissas!$H$7*Premissas!$B$27</f>
        <v>44236.749180131</v>
      </c>
      <c r="E19" s="29" t="n">
        <f aca="false">C19*Premissas!$H$8*Premissas!$B$27</f>
        <v>0</v>
      </c>
      <c r="F19" s="29" t="n">
        <f aca="false">D19+E19</f>
        <v>44236.749180131</v>
      </c>
      <c r="G19" s="29" t="n">
        <f aca="false">F19*Premissas!$H$14</f>
        <v>2654.20495080786</v>
      </c>
      <c r="H19" s="29" t="n">
        <f aca="false">F19*Premissas!$H$13</f>
        <v>19906.537131059</v>
      </c>
      <c r="I19" s="29" t="n">
        <f aca="false">F19-G19-H19</f>
        <v>21676.0070982642</v>
      </c>
      <c r="J19" s="29" t="n">
        <f aca="false">Premissas!$H$15+Premissas!$H$16</f>
        <v>13000</v>
      </c>
      <c r="K19" s="29" t="n">
        <f aca="false">I19-J19</f>
        <v>8676.00709826419</v>
      </c>
      <c r="L19" s="29" t="n">
        <f aca="false">K19</f>
        <v>8676.00709826419</v>
      </c>
      <c r="M19" s="29" t="n">
        <f aca="false">M18+L19</f>
        <v>-104940.896177209</v>
      </c>
      <c r="N19" s="27" t="n">
        <f aca="false">IF(M19&gt;=0,1,0)</f>
        <v>0</v>
      </c>
    </row>
    <row r="20" customFormat="false" ht="15" hidden="false" customHeight="false" outlineLevel="0" collapsed="false">
      <c r="A20" s="27" t="n">
        <f aca="false">A19+1</f>
        <v>15</v>
      </c>
      <c r="B20" s="28" t="n">
        <f aca="false">MIN(Premissas!$H$11,B19*(1-Premissas!$H$12)+IF(A20=1,Premissas!$H$9,Premissas!$H$10*Premissas!$B$26))</f>
        <v>18.6638586818908</v>
      </c>
      <c r="C20" s="28" t="n">
        <f aca="false">MAX(0,B20-B19*(1-Premissas!$H$12))</f>
        <v>1.5</v>
      </c>
      <c r="D20" s="29" t="n">
        <f aca="false">B20*Premissas!$H$7*Premissas!$B$27</f>
        <v>46659.6467047271</v>
      </c>
      <c r="E20" s="29" t="n">
        <f aca="false">C20*Premissas!$H$8*Premissas!$B$27</f>
        <v>0</v>
      </c>
      <c r="F20" s="29" t="n">
        <f aca="false">D20+E20</f>
        <v>46659.6467047271</v>
      </c>
      <c r="G20" s="29" t="n">
        <f aca="false">F20*Premissas!$H$14</f>
        <v>2799.57880228363</v>
      </c>
      <c r="H20" s="29" t="n">
        <f aca="false">F20*Premissas!$H$13</f>
        <v>20996.8410171272</v>
      </c>
      <c r="I20" s="29" t="n">
        <f aca="false">F20-G20-H20</f>
        <v>22863.2268853163</v>
      </c>
      <c r="J20" s="29" t="n">
        <f aca="false">Premissas!$H$15+Premissas!$H$16</f>
        <v>13000</v>
      </c>
      <c r="K20" s="29" t="n">
        <f aca="false">I20-J20</f>
        <v>9863.22688531627</v>
      </c>
      <c r="L20" s="29" t="n">
        <f aca="false">K20</f>
        <v>9863.22688531627</v>
      </c>
      <c r="M20" s="29" t="n">
        <f aca="false">M19+L20</f>
        <v>-95077.6692918928</v>
      </c>
      <c r="N20" s="27" t="n">
        <f aca="false">IF(M20&gt;=0,1,0)</f>
        <v>0</v>
      </c>
    </row>
    <row r="21" customFormat="false" ht="15" hidden="false" customHeight="false" outlineLevel="0" collapsed="false">
      <c r="A21" s="27" t="n">
        <f aca="false">A20+1</f>
        <v>16</v>
      </c>
      <c r="B21" s="28" t="n">
        <f aca="false">MIN(Premissas!$H$11,B20*(1-Premissas!$H$12)+IF(A21=1,Premissas!$H$9,Premissas!$H$10*Premissas!$B$26))</f>
        <v>19.6039429214341</v>
      </c>
      <c r="C21" s="28" t="n">
        <f aca="false">MAX(0,B21-B20*(1-Premissas!$H$12))</f>
        <v>1.5</v>
      </c>
      <c r="D21" s="29" t="n">
        <f aca="false">B21*Premissas!$H$7*Premissas!$B$27</f>
        <v>49009.8573035853</v>
      </c>
      <c r="E21" s="29" t="n">
        <f aca="false">C21*Premissas!$H$8*Premissas!$B$27</f>
        <v>0</v>
      </c>
      <c r="F21" s="29" t="n">
        <f aca="false">D21+E21</f>
        <v>49009.8573035853</v>
      </c>
      <c r="G21" s="29" t="n">
        <f aca="false">F21*Premissas!$H$14</f>
        <v>2940.59143821512</v>
      </c>
      <c r="H21" s="29" t="n">
        <f aca="false">F21*Premissas!$H$13</f>
        <v>22054.4357866134</v>
      </c>
      <c r="I21" s="29" t="n">
        <f aca="false">F21-G21-H21</f>
        <v>24014.8300787568</v>
      </c>
      <c r="J21" s="29" t="n">
        <f aca="false">Premissas!$H$15+Premissas!$H$16</f>
        <v>13000</v>
      </c>
      <c r="K21" s="29" t="n">
        <f aca="false">I21-J21</f>
        <v>11014.8300787568</v>
      </c>
      <c r="L21" s="29" t="n">
        <f aca="false">K21</f>
        <v>11014.8300787568</v>
      </c>
      <c r="M21" s="29" t="n">
        <f aca="false">M20+L21</f>
        <v>-84062.8392131361</v>
      </c>
      <c r="N21" s="27" t="n">
        <f aca="false">IF(M21&gt;=0,1,0)</f>
        <v>0</v>
      </c>
    </row>
    <row r="22" customFormat="false" ht="15" hidden="false" customHeight="false" outlineLevel="0" collapsed="false">
      <c r="A22" s="27" t="n">
        <f aca="false">A21+1</f>
        <v>17</v>
      </c>
      <c r="B22" s="28" t="n">
        <f aca="false">MIN(Premissas!$H$11,B21*(1-Premissas!$H$12)+IF(A22=1,Premissas!$H$9,Premissas!$H$10*Premissas!$B$26))</f>
        <v>20.5158246337911</v>
      </c>
      <c r="C22" s="28" t="n">
        <f aca="false">MAX(0,B22-B21*(1-Premissas!$H$12))</f>
        <v>1.5</v>
      </c>
      <c r="D22" s="29" t="n">
        <f aca="false">B22*Premissas!$H$7*Premissas!$B$27</f>
        <v>51289.5615844777</v>
      </c>
      <c r="E22" s="29" t="n">
        <f aca="false">C22*Premissas!$H$8*Premissas!$B$27</f>
        <v>0</v>
      </c>
      <c r="F22" s="29" t="n">
        <f aca="false">D22+E22</f>
        <v>51289.5615844777</v>
      </c>
      <c r="G22" s="29" t="n">
        <f aca="false">F22*Premissas!$H$14</f>
        <v>3077.37369506866</v>
      </c>
      <c r="H22" s="29" t="n">
        <f aca="false">F22*Premissas!$H$13</f>
        <v>23080.302713015</v>
      </c>
      <c r="I22" s="29" t="n">
        <f aca="false">F22-G22-H22</f>
        <v>25131.8851763941</v>
      </c>
      <c r="J22" s="29" t="n">
        <f aca="false">Premissas!$H$15+Premissas!$H$16</f>
        <v>13000</v>
      </c>
      <c r="K22" s="29" t="n">
        <f aca="false">I22-J22</f>
        <v>12131.8851763941</v>
      </c>
      <c r="L22" s="29" t="n">
        <f aca="false">K22</f>
        <v>12131.8851763941</v>
      </c>
      <c r="M22" s="29" t="n">
        <f aca="false">M21+L22</f>
        <v>-71930.954036742</v>
      </c>
      <c r="N22" s="27" t="n">
        <f aca="false">IF(M22&gt;=0,1,0)</f>
        <v>0</v>
      </c>
    </row>
    <row r="23" customFormat="false" ht="15" hidden="false" customHeight="false" outlineLevel="0" collapsed="false">
      <c r="A23" s="27" t="n">
        <f aca="false">A22+1</f>
        <v>18</v>
      </c>
      <c r="B23" s="28" t="n">
        <f aca="false">MIN(Premissas!$H$11,B22*(1-Premissas!$H$12)+IF(A23=1,Premissas!$H$9,Premissas!$H$10*Premissas!$B$26))</f>
        <v>21.4003498947774</v>
      </c>
      <c r="C23" s="28" t="n">
        <f aca="false">MAX(0,B23-B22*(1-Premissas!$H$12))</f>
        <v>1.5</v>
      </c>
      <c r="D23" s="29" t="n">
        <f aca="false">B23*Premissas!$H$7*Premissas!$B$27</f>
        <v>53500.8747369434</v>
      </c>
      <c r="E23" s="29" t="n">
        <f aca="false">C23*Premissas!$H$8*Premissas!$B$27</f>
        <v>0</v>
      </c>
      <c r="F23" s="29" t="n">
        <f aca="false">D23+E23</f>
        <v>53500.8747369434</v>
      </c>
      <c r="G23" s="29" t="n">
        <f aca="false">F23*Premissas!$H$14</f>
        <v>3210.0524842166</v>
      </c>
      <c r="H23" s="29" t="n">
        <f aca="false">F23*Premissas!$H$13</f>
        <v>24075.3936316245</v>
      </c>
      <c r="I23" s="29" t="n">
        <f aca="false">F23-G23-H23</f>
        <v>26215.4286211023</v>
      </c>
      <c r="J23" s="29" t="n">
        <f aca="false">Premissas!$H$15+Premissas!$H$16</f>
        <v>13000</v>
      </c>
      <c r="K23" s="29" t="n">
        <f aca="false">I23-J23</f>
        <v>13215.4286211023</v>
      </c>
      <c r="L23" s="29" t="n">
        <f aca="false">K23</f>
        <v>13215.4286211023</v>
      </c>
      <c r="M23" s="29" t="n">
        <f aca="false">M22+L23</f>
        <v>-58715.5254156397</v>
      </c>
      <c r="N23" s="27" t="n">
        <f aca="false">IF(M23&gt;=0,1,0)</f>
        <v>0</v>
      </c>
    </row>
    <row r="24" customFormat="false" ht="15" hidden="false" customHeight="false" outlineLevel="0" collapsed="false">
      <c r="A24" s="27" t="n">
        <f aca="false">A23+1</f>
        <v>19</v>
      </c>
      <c r="B24" s="28" t="n">
        <f aca="false">MIN(Premissas!$H$11,B23*(1-Premissas!$H$12)+IF(A24=1,Premissas!$H$9,Premissas!$H$10*Premissas!$B$26))</f>
        <v>22.258339397934</v>
      </c>
      <c r="C24" s="28" t="n">
        <f aca="false">MAX(0,B24-B23*(1-Premissas!$H$12))</f>
        <v>1.5</v>
      </c>
      <c r="D24" s="29" t="n">
        <f aca="false">B24*Premissas!$H$7*Premissas!$B$27</f>
        <v>55645.8484948351</v>
      </c>
      <c r="E24" s="29" t="n">
        <f aca="false">C24*Premissas!$H$8*Premissas!$B$27</f>
        <v>0</v>
      </c>
      <c r="F24" s="29" t="n">
        <f aca="false">D24+E24</f>
        <v>55645.8484948351</v>
      </c>
      <c r="G24" s="29" t="n">
        <f aca="false">F24*Premissas!$H$14</f>
        <v>3338.7509096901</v>
      </c>
      <c r="H24" s="29" t="n">
        <f aca="false">F24*Premissas!$H$13</f>
        <v>25040.6318226758</v>
      </c>
      <c r="I24" s="29" t="n">
        <f aca="false">F24-G24-H24</f>
        <v>27266.4657624692</v>
      </c>
      <c r="J24" s="29" t="n">
        <f aca="false">Premissas!$H$15+Premissas!$H$16</f>
        <v>13000</v>
      </c>
      <c r="K24" s="29" t="n">
        <f aca="false">I24-J24</f>
        <v>14266.4657624692</v>
      </c>
      <c r="L24" s="29" t="n">
        <f aca="false">K24</f>
        <v>14266.4657624692</v>
      </c>
      <c r="M24" s="29" t="n">
        <f aca="false">M23+L24</f>
        <v>-44449.0596531705</v>
      </c>
      <c r="N24" s="27" t="n">
        <f aca="false">IF(M24&gt;=0,1,0)</f>
        <v>0</v>
      </c>
    </row>
    <row r="25" customFormat="false" ht="15" hidden="false" customHeight="false" outlineLevel="0" collapsed="false">
      <c r="A25" s="27" t="n">
        <f aca="false">A24+1</f>
        <v>20</v>
      </c>
      <c r="B25" s="28" t="n">
        <f aca="false">MIN(Premissas!$H$11,B24*(1-Premissas!$H$12)+IF(A25=1,Premissas!$H$9,Premissas!$H$10*Premissas!$B$26))</f>
        <v>23.090589215996</v>
      </c>
      <c r="C25" s="28" t="n">
        <f aca="false">MAX(0,B25-B24*(1-Premissas!$H$12))</f>
        <v>1.5</v>
      </c>
      <c r="D25" s="29" t="n">
        <f aca="false">B25*Premissas!$H$7*Premissas!$B$27</f>
        <v>57726.47303999</v>
      </c>
      <c r="E25" s="29" t="n">
        <f aca="false">C25*Premissas!$H$8*Premissas!$B$27</f>
        <v>0</v>
      </c>
      <c r="F25" s="29" t="n">
        <f aca="false">D25+E25</f>
        <v>57726.47303999</v>
      </c>
      <c r="G25" s="29" t="n">
        <f aca="false">F25*Premissas!$H$14</f>
        <v>3463.5883823994</v>
      </c>
      <c r="H25" s="29" t="n">
        <f aca="false">F25*Premissas!$H$13</f>
        <v>25976.9128679955</v>
      </c>
      <c r="I25" s="29" t="n">
        <f aca="false">F25-G25-H25</f>
        <v>28285.9717895951</v>
      </c>
      <c r="J25" s="29" t="n">
        <f aca="false">Premissas!$H$15+Premissas!$H$16</f>
        <v>13000</v>
      </c>
      <c r="K25" s="29" t="n">
        <f aca="false">I25-J25</f>
        <v>15285.9717895951</v>
      </c>
      <c r="L25" s="29" t="n">
        <f aca="false">K25</f>
        <v>15285.9717895951</v>
      </c>
      <c r="M25" s="29" t="n">
        <f aca="false">M24+L25</f>
        <v>-29163.0878635754</v>
      </c>
      <c r="N25" s="27" t="n">
        <f aca="false">IF(M25&gt;=0,1,0)</f>
        <v>0</v>
      </c>
    </row>
    <row r="26" customFormat="false" ht="15" hidden="false" customHeight="false" outlineLevel="0" collapsed="false">
      <c r="A26" s="27" t="n">
        <f aca="false">A25+1</f>
        <v>21</v>
      </c>
      <c r="B26" s="28" t="n">
        <f aca="false">MIN(Premissas!$H$11,B25*(1-Premissas!$H$12)+IF(A26=1,Premissas!$H$9,Premissas!$H$10*Premissas!$B$26))</f>
        <v>23.8978715395161</v>
      </c>
      <c r="C26" s="28" t="n">
        <f aca="false">MAX(0,B26-B25*(1-Premissas!$H$12))</f>
        <v>1.5</v>
      </c>
      <c r="D26" s="29" t="n">
        <f aca="false">B26*Premissas!$H$7*Premissas!$B$27</f>
        <v>59744.6788487903</v>
      </c>
      <c r="E26" s="29" t="n">
        <f aca="false">C26*Premissas!$H$8*Premissas!$B$27</f>
        <v>0</v>
      </c>
      <c r="F26" s="29" t="n">
        <f aca="false">D26+E26</f>
        <v>59744.6788487903</v>
      </c>
      <c r="G26" s="29" t="n">
        <f aca="false">F26*Premissas!$H$14</f>
        <v>3584.68073092742</v>
      </c>
      <c r="H26" s="29" t="n">
        <f aca="false">F26*Premissas!$H$13</f>
        <v>26885.1054819556</v>
      </c>
      <c r="I26" s="29" t="n">
        <f aca="false">F26-G26-H26</f>
        <v>29274.8926359073</v>
      </c>
      <c r="J26" s="29" t="n">
        <f aca="false">Premissas!$H$15+Premissas!$H$16</f>
        <v>13000</v>
      </c>
      <c r="K26" s="29" t="n">
        <f aca="false">I26-J26</f>
        <v>16274.8926359073</v>
      </c>
      <c r="L26" s="29" t="n">
        <f aca="false">K26</f>
        <v>16274.8926359073</v>
      </c>
      <c r="M26" s="29" t="n">
        <f aca="false">M25+L26</f>
        <v>-12888.1952276682</v>
      </c>
      <c r="N26" s="27" t="n">
        <f aca="false">IF(M26&gt;=0,1,0)</f>
        <v>0</v>
      </c>
    </row>
    <row r="27" customFormat="false" ht="15" hidden="false" customHeight="false" outlineLevel="0" collapsed="false">
      <c r="A27" s="27" t="n">
        <f aca="false">A26+1</f>
        <v>22</v>
      </c>
      <c r="B27" s="28" t="n">
        <f aca="false">MIN(Premissas!$H$11,B26*(1-Premissas!$H$12)+IF(A27=1,Premissas!$H$9,Premissas!$H$10*Premissas!$B$26))</f>
        <v>24.6809353933306</v>
      </c>
      <c r="C27" s="28" t="n">
        <f aca="false">MAX(0,B27-B26*(1-Premissas!$H$12))</f>
        <v>1.5</v>
      </c>
      <c r="D27" s="29" t="n">
        <f aca="false">B27*Premissas!$H$7*Premissas!$B$27</f>
        <v>61702.3384833266</v>
      </c>
      <c r="E27" s="29" t="n">
        <f aca="false">C27*Premissas!$H$8*Premissas!$B$27</f>
        <v>0</v>
      </c>
      <c r="F27" s="29" t="n">
        <f aca="false">D27+E27</f>
        <v>61702.3384833266</v>
      </c>
      <c r="G27" s="29" t="n">
        <f aca="false">F27*Premissas!$H$14</f>
        <v>3702.1403089996</v>
      </c>
      <c r="H27" s="29" t="n">
        <f aca="false">F27*Premissas!$H$13</f>
        <v>27766.052317497</v>
      </c>
      <c r="I27" s="29" t="n">
        <f aca="false">F27-G27-H27</f>
        <v>30234.14585683</v>
      </c>
      <c r="J27" s="29" t="n">
        <f aca="false">Premissas!$H$15+Premissas!$H$16</f>
        <v>13000</v>
      </c>
      <c r="K27" s="29" t="n">
        <f aca="false">I27-J27</f>
        <v>17234.14585683</v>
      </c>
      <c r="L27" s="29" t="n">
        <f aca="false">K27</f>
        <v>17234.14585683</v>
      </c>
      <c r="M27" s="29" t="n">
        <f aca="false">M26+L27</f>
        <v>4345.95062916186</v>
      </c>
      <c r="N27" s="27" t="n">
        <f aca="false">IF(M27&gt;=0,1,0)</f>
        <v>1</v>
      </c>
    </row>
    <row r="28" customFormat="false" ht="15" hidden="false" customHeight="false" outlineLevel="0" collapsed="false">
      <c r="A28" s="27" t="n">
        <f aca="false">A27+1</f>
        <v>23</v>
      </c>
      <c r="B28" s="28" t="n">
        <f aca="false">MIN(Premissas!$H$11,B27*(1-Premissas!$H$12)+IF(A28=1,Premissas!$H$9,Premissas!$H$10*Premissas!$B$26))</f>
        <v>25.4405073315307</v>
      </c>
      <c r="C28" s="28" t="n">
        <f aca="false">MAX(0,B28-B27*(1-Premissas!$H$12))</f>
        <v>1.5</v>
      </c>
      <c r="D28" s="29" t="n">
        <f aca="false">B28*Premissas!$H$7*Premissas!$B$27</f>
        <v>63601.2683288268</v>
      </c>
      <c r="E28" s="29" t="n">
        <f aca="false">C28*Premissas!$H$8*Premissas!$B$27</f>
        <v>0</v>
      </c>
      <c r="F28" s="29" t="n">
        <f aca="false">D28+E28</f>
        <v>63601.2683288268</v>
      </c>
      <c r="G28" s="29" t="n">
        <f aca="false">F28*Premissas!$H$14</f>
        <v>3816.07609972961</v>
      </c>
      <c r="H28" s="29" t="n">
        <f aca="false">F28*Premissas!$H$13</f>
        <v>28620.5707479721</v>
      </c>
      <c r="I28" s="29" t="n">
        <f aca="false">F28-G28-H28</f>
        <v>31164.6214811251</v>
      </c>
      <c r="J28" s="29" t="n">
        <f aca="false">Premissas!$H$15+Premissas!$H$16</f>
        <v>13000</v>
      </c>
      <c r="K28" s="29" t="n">
        <f aca="false">I28-J28</f>
        <v>18164.6214811251</v>
      </c>
      <c r="L28" s="29" t="n">
        <f aca="false">K28</f>
        <v>18164.6214811251</v>
      </c>
      <c r="M28" s="29" t="n">
        <f aca="false">M27+L28</f>
        <v>22510.572110287</v>
      </c>
      <c r="N28" s="27" t="n">
        <f aca="false">IF(M28&gt;=0,1,0)</f>
        <v>1</v>
      </c>
    </row>
    <row r="29" customFormat="false" ht="15" hidden="false" customHeight="false" outlineLevel="0" collapsed="false">
      <c r="A29" s="31" t="n">
        <f aca="false">A28+1</f>
        <v>24</v>
      </c>
      <c r="B29" s="32" t="n">
        <f aca="false">MIN(Premissas!$H$11,B28*(1-Premissas!$H$12)+IF(A29=1,Premissas!$H$9,Premissas!$H$10*Premissas!$B$26))</f>
        <v>26.1772921115848</v>
      </c>
      <c r="C29" s="32" t="n">
        <f aca="false">MAX(0,B29-B28*(1-Premissas!$H$12))</f>
        <v>1.5</v>
      </c>
      <c r="D29" s="33" t="n">
        <f aca="false">B29*Premissas!$H$7*Premissas!$B$27</f>
        <v>65443.230278962</v>
      </c>
      <c r="E29" s="33" t="n">
        <f aca="false">C29*Premissas!$H$8*Premissas!$B$27</f>
        <v>0</v>
      </c>
      <c r="F29" s="33" t="n">
        <f aca="false">D29+E29</f>
        <v>65443.230278962</v>
      </c>
      <c r="G29" s="33" t="n">
        <f aca="false">F29*Premissas!$H$14</f>
        <v>3926.59381673772</v>
      </c>
      <c r="H29" s="33" t="n">
        <f aca="false">F29*Premissas!$H$13</f>
        <v>29449.4536255329</v>
      </c>
      <c r="I29" s="33" t="n">
        <f aca="false">F29-G29-H29</f>
        <v>32067.1828366914</v>
      </c>
      <c r="J29" s="33" t="n">
        <f aca="false">Premissas!$H$15+Premissas!$H$16</f>
        <v>13000</v>
      </c>
      <c r="K29" s="33" t="n">
        <f aca="false">I29-J29</f>
        <v>19067.1828366914</v>
      </c>
      <c r="L29" s="33" t="n">
        <f aca="false">K29</f>
        <v>19067.1828366914</v>
      </c>
      <c r="M29" s="33" t="n">
        <f aca="false">M28+L29</f>
        <v>41577.7549469784</v>
      </c>
      <c r="N29" s="31" t="n">
        <f aca="false">IF(M29&gt;=0,1,0)</f>
        <v>1</v>
      </c>
    </row>
    <row r="30" customFormat="false" ht="15" hidden="false" customHeight="false" outlineLevel="0" collapsed="false">
      <c r="A30" s="27" t="n">
        <f aca="false">A29+1</f>
        <v>25</v>
      </c>
      <c r="B30" s="28" t="n">
        <f aca="false">MIN(Premissas!$H$11,B29*(1-Premissas!$H$12)+IF(A30=1,Premissas!$H$9,Premissas!$H$10*Premissas!$B$26))</f>
        <v>26.8919733482373</v>
      </c>
      <c r="C30" s="28" t="n">
        <f aca="false">MAX(0,B30-B29*(1-Premissas!$H$12))</f>
        <v>1.5</v>
      </c>
      <c r="D30" s="29" t="n">
        <f aca="false">B30*Premissas!$H$7*Premissas!$B$27</f>
        <v>67229.9333705931</v>
      </c>
      <c r="E30" s="29" t="n">
        <f aca="false">C30*Premissas!$H$8*Premissas!$B$27</f>
        <v>0</v>
      </c>
      <c r="F30" s="29" t="n">
        <f aca="false">D30+E30</f>
        <v>67229.9333705931</v>
      </c>
      <c r="G30" s="29" t="n">
        <f aca="false">F30*Premissas!$H$14</f>
        <v>4033.79600223559</v>
      </c>
      <c r="H30" s="29" t="n">
        <f aca="false">F30*Premissas!$H$13</f>
        <v>30253.4700167669</v>
      </c>
      <c r="I30" s="29" t="n">
        <f aca="false">F30-G30-H30</f>
        <v>32942.6673515906</v>
      </c>
      <c r="J30" s="29" t="n">
        <f aca="false">Premissas!$H$15+Premissas!$H$16</f>
        <v>13000</v>
      </c>
      <c r="K30" s="29" t="n">
        <f aca="false">I30-J30</f>
        <v>19942.6673515906</v>
      </c>
      <c r="L30" s="29" t="n">
        <f aca="false">K30</f>
        <v>19942.6673515906</v>
      </c>
      <c r="M30" s="29" t="n">
        <f aca="false">M29+L30</f>
        <v>61520.422298569</v>
      </c>
      <c r="N30" s="27" t="n">
        <f aca="false">IF(M30&gt;=0,1,0)</f>
        <v>1</v>
      </c>
    </row>
    <row r="31" customFormat="false" ht="15" hidden="false" customHeight="false" outlineLevel="0" collapsed="false">
      <c r="A31" s="27" t="n">
        <f aca="false">A30+1</f>
        <v>26</v>
      </c>
      <c r="B31" s="28" t="n">
        <f aca="false">MIN(Premissas!$H$11,B30*(1-Premissas!$H$12)+IF(A31=1,Premissas!$H$9,Premissas!$H$10*Premissas!$B$26))</f>
        <v>27.5852141477901</v>
      </c>
      <c r="C31" s="28" t="n">
        <f aca="false">MAX(0,B31-B30*(1-Premissas!$H$12))</f>
        <v>1.5</v>
      </c>
      <c r="D31" s="29" t="n">
        <f aca="false">B31*Premissas!$H$7*Premissas!$B$27</f>
        <v>68963.0353694753</v>
      </c>
      <c r="E31" s="29" t="n">
        <f aca="false">C31*Premissas!$H$8*Premissas!$B$27</f>
        <v>0</v>
      </c>
      <c r="F31" s="29" t="n">
        <f aca="false">D31+E31</f>
        <v>68963.0353694753</v>
      </c>
      <c r="G31" s="29" t="n">
        <f aca="false">F31*Premissas!$H$14</f>
        <v>4137.78212216852</v>
      </c>
      <c r="H31" s="29" t="n">
        <f aca="false">F31*Premissas!$H$13</f>
        <v>31033.3659162639</v>
      </c>
      <c r="I31" s="29" t="n">
        <f aca="false">F31-G31-H31</f>
        <v>33791.8873310429</v>
      </c>
      <c r="J31" s="29" t="n">
        <f aca="false">Premissas!$H$15+Premissas!$H$16</f>
        <v>13000</v>
      </c>
      <c r="K31" s="29" t="n">
        <f aca="false">I31-J31</f>
        <v>20791.8873310429</v>
      </c>
      <c r="L31" s="29" t="n">
        <f aca="false">K31</f>
        <v>20791.8873310429</v>
      </c>
      <c r="M31" s="29" t="n">
        <f aca="false">M30+L31</f>
        <v>82312.3096296119</v>
      </c>
      <c r="N31" s="27" t="n">
        <f aca="false">IF(M31&gt;=0,1,0)</f>
        <v>1</v>
      </c>
    </row>
    <row r="32" customFormat="false" ht="15" hidden="false" customHeight="false" outlineLevel="0" collapsed="false">
      <c r="A32" s="27" t="n">
        <f aca="false">A31+1</f>
        <v>27</v>
      </c>
      <c r="B32" s="28" t="n">
        <f aca="false">MIN(Premissas!$H$11,B31*(1-Premissas!$H$12)+IF(A32=1,Premissas!$H$9,Premissas!$H$10*Premissas!$B$26))</f>
        <v>28.2576577233564</v>
      </c>
      <c r="C32" s="28" t="n">
        <f aca="false">MAX(0,B32-B31*(1-Premissas!$H$12))</f>
        <v>1.5</v>
      </c>
      <c r="D32" s="29" t="n">
        <f aca="false">B32*Premissas!$H$7*Premissas!$B$27</f>
        <v>70644.1443083911</v>
      </c>
      <c r="E32" s="29" t="n">
        <f aca="false">C32*Premissas!$H$8*Premissas!$B$27</f>
        <v>0</v>
      </c>
      <c r="F32" s="29" t="n">
        <f aca="false">D32+E32</f>
        <v>70644.1443083911</v>
      </c>
      <c r="G32" s="29" t="n">
        <f aca="false">F32*Premissas!$H$14</f>
        <v>4238.64865850346</v>
      </c>
      <c r="H32" s="29" t="n">
        <f aca="false">F32*Premissas!$H$13</f>
        <v>31789.864938776</v>
      </c>
      <c r="I32" s="29" t="n">
        <f aca="false">F32-G32-H32</f>
        <v>34615.6307111116</v>
      </c>
      <c r="J32" s="29" t="n">
        <f aca="false">Premissas!$H$15+Premissas!$H$16</f>
        <v>13000</v>
      </c>
      <c r="K32" s="29" t="n">
        <f aca="false">I32-J32</f>
        <v>21615.6307111116</v>
      </c>
      <c r="L32" s="29" t="n">
        <f aca="false">K32</f>
        <v>21615.6307111116</v>
      </c>
      <c r="M32" s="29" t="n">
        <f aca="false">M31+L32</f>
        <v>103927.940340724</v>
      </c>
      <c r="N32" s="27" t="n">
        <f aca="false">IF(M32&gt;=0,1,0)</f>
        <v>1</v>
      </c>
    </row>
    <row r="33" customFormat="false" ht="15" hidden="false" customHeight="false" outlineLevel="0" collapsed="false">
      <c r="A33" s="27" t="n">
        <f aca="false">A32+1</f>
        <v>28</v>
      </c>
      <c r="B33" s="28" t="n">
        <f aca="false">MIN(Premissas!$H$11,B32*(1-Premissas!$H$12)+IF(A33=1,Premissas!$H$9,Premissas!$H$10*Premissas!$B$26))</f>
        <v>28.9099279916557</v>
      </c>
      <c r="C33" s="28" t="n">
        <f aca="false">MAX(0,B33-B32*(1-Premissas!$H$12))</f>
        <v>1.5</v>
      </c>
      <c r="D33" s="29" t="n">
        <f aca="false">B33*Premissas!$H$7*Premissas!$B$27</f>
        <v>72274.8199791393</v>
      </c>
      <c r="E33" s="29" t="n">
        <f aca="false">C33*Premissas!$H$8*Premissas!$B$27</f>
        <v>0</v>
      </c>
      <c r="F33" s="29" t="n">
        <f aca="false">D33+E33</f>
        <v>72274.8199791393</v>
      </c>
      <c r="G33" s="29" t="n">
        <f aca="false">F33*Premissas!$H$14</f>
        <v>4336.48919874836</v>
      </c>
      <c r="H33" s="29" t="n">
        <f aca="false">F33*Premissas!$H$13</f>
        <v>32523.6689906127</v>
      </c>
      <c r="I33" s="29" t="n">
        <f aca="false">F33-G33-H33</f>
        <v>35414.6617897783</v>
      </c>
      <c r="J33" s="29" t="n">
        <f aca="false">Premissas!$H$15+Premissas!$H$16</f>
        <v>13000</v>
      </c>
      <c r="K33" s="29" t="n">
        <f aca="false">I33-J33</f>
        <v>22414.6617897783</v>
      </c>
      <c r="L33" s="29" t="n">
        <f aca="false">K33</f>
        <v>22414.6617897783</v>
      </c>
      <c r="M33" s="29" t="n">
        <f aca="false">M32+L33</f>
        <v>126342.602130502</v>
      </c>
      <c r="N33" s="27" t="n">
        <f aca="false">IF(M33&gt;=0,1,0)</f>
        <v>1</v>
      </c>
    </row>
    <row r="34" customFormat="false" ht="15" hidden="false" customHeight="false" outlineLevel="0" collapsed="false">
      <c r="A34" s="27" t="n">
        <f aca="false">A33+1</f>
        <v>29</v>
      </c>
      <c r="B34" s="28" t="n">
        <f aca="false">MIN(Premissas!$H$11,B33*(1-Premissas!$H$12)+IF(A34=1,Premissas!$H$9,Premissas!$H$10*Premissas!$B$26))</f>
        <v>29.5426301519061</v>
      </c>
      <c r="C34" s="28" t="n">
        <f aca="false">MAX(0,B34-B33*(1-Premissas!$H$12))</f>
        <v>1.5</v>
      </c>
      <c r="D34" s="29" t="n">
        <f aca="false">B34*Premissas!$H$7*Premissas!$B$27</f>
        <v>73856.5753797652</v>
      </c>
      <c r="E34" s="29" t="n">
        <f aca="false">C34*Premissas!$H$8*Premissas!$B$27</f>
        <v>0</v>
      </c>
      <c r="F34" s="29" t="n">
        <f aca="false">D34+E34</f>
        <v>73856.5753797652</v>
      </c>
      <c r="G34" s="29" t="n">
        <f aca="false">F34*Premissas!$H$14</f>
        <v>4431.39452278591</v>
      </c>
      <c r="H34" s="29" t="n">
        <f aca="false">F34*Premissas!$H$13</f>
        <v>33235.4589208943</v>
      </c>
      <c r="I34" s="29" t="n">
        <f aca="false">F34-G34-H34</f>
        <v>36189.7219360849</v>
      </c>
      <c r="J34" s="29" t="n">
        <f aca="false">Premissas!$H$15+Premissas!$H$16</f>
        <v>13000</v>
      </c>
      <c r="K34" s="29" t="n">
        <f aca="false">I34-J34</f>
        <v>23189.7219360849</v>
      </c>
      <c r="L34" s="29" t="n">
        <f aca="false">K34</f>
        <v>23189.7219360849</v>
      </c>
      <c r="M34" s="29" t="n">
        <f aca="false">M33+L34</f>
        <v>149532.324066587</v>
      </c>
      <c r="N34" s="27" t="n">
        <f aca="false">IF(M34&gt;=0,1,0)</f>
        <v>1</v>
      </c>
    </row>
    <row r="35" customFormat="false" ht="15" hidden="false" customHeight="false" outlineLevel="0" collapsed="false">
      <c r="A35" s="27" t="n">
        <f aca="false">A34+1</f>
        <v>30</v>
      </c>
      <c r="B35" s="28" t="n">
        <f aca="false">MIN(Premissas!$H$11,B34*(1-Premissas!$H$12)+IF(A35=1,Premissas!$H$9,Premissas!$H$10*Premissas!$B$26))</f>
        <v>30.1563512473489</v>
      </c>
      <c r="C35" s="28" t="n">
        <f aca="false">MAX(0,B35-B34*(1-Premissas!$H$12))</f>
        <v>1.5</v>
      </c>
      <c r="D35" s="29" t="n">
        <f aca="false">B35*Premissas!$H$7*Premissas!$B$27</f>
        <v>75390.8781183722</v>
      </c>
      <c r="E35" s="29" t="n">
        <f aca="false">C35*Premissas!$H$8*Premissas!$B$27</f>
        <v>0</v>
      </c>
      <c r="F35" s="29" t="n">
        <f aca="false">D35+E35</f>
        <v>75390.8781183722</v>
      </c>
      <c r="G35" s="29" t="n">
        <f aca="false">F35*Premissas!$H$14</f>
        <v>4523.45268710233</v>
      </c>
      <c r="H35" s="29" t="n">
        <f aca="false">F35*Premissas!$H$13</f>
        <v>33925.8951532675</v>
      </c>
      <c r="I35" s="29" t="n">
        <f aca="false">F35-G35-H35</f>
        <v>36941.5302780024</v>
      </c>
      <c r="J35" s="29" t="n">
        <f aca="false">Premissas!$H$15+Premissas!$H$16</f>
        <v>13000</v>
      </c>
      <c r="K35" s="29" t="n">
        <f aca="false">I35-J35</f>
        <v>23941.5302780024</v>
      </c>
      <c r="L35" s="29" t="n">
        <f aca="false">K35</f>
        <v>23941.5302780024</v>
      </c>
      <c r="M35" s="29" t="n">
        <f aca="false">M34+L35</f>
        <v>173473.854344589</v>
      </c>
      <c r="N35" s="27" t="n">
        <f aca="false">IF(M35&gt;=0,1,0)</f>
        <v>1</v>
      </c>
    </row>
    <row r="36" customFormat="false" ht="15" hidden="false" customHeight="false" outlineLevel="0" collapsed="false">
      <c r="A36" s="27" t="n">
        <f aca="false">A35+1</f>
        <v>31</v>
      </c>
      <c r="B36" s="28" t="n">
        <f aca="false">MIN(Premissas!$H$11,B35*(1-Premissas!$H$12)+IF(A36=1,Premissas!$H$9,Premissas!$H$10*Premissas!$B$26))</f>
        <v>30.7516607099284</v>
      </c>
      <c r="C36" s="28" t="n">
        <f aca="false">MAX(0,B36-B35*(1-Premissas!$H$12))</f>
        <v>1.5</v>
      </c>
      <c r="D36" s="29" t="n">
        <f aca="false">B36*Premissas!$H$7*Premissas!$B$27</f>
        <v>76879.1517748211</v>
      </c>
      <c r="E36" s="29" t="n">
        <f aca="false">C36*Premissas!$H$8*Premissas!$B$27</f>
        <v>0</v>
      </c>
      <c r="F36" s="29" t="n">
        <f aca="false">D36+E36</f>
        <v>76879.1517748211</v>
      </c>
      <c r="G36" s="29" t="n">
        <f aca="false">F36*Premissas!$H$14</f>
        <v>4612.74910648926</v>
      </c>
      <c r="H36" s="29" t="n">
        <f aca="false">F36*Premissas!$H$13</f>
        <v>34595.6182986695</v>
      </c>
      <c r="I36" s="29" t="n">
        <f aca="false">F36-G36-H36</f>
        <v>37670.7843696623</v>
      </c>
      <c r="J36" s="29" t="n">
        <f aca="false">Premissas!$H$15+Premissas!$H$16</f>
        <v>13000</v>
      </c>
      <c r="K36" s="29" t="n">
        <f aca="false">I36-J36</f>
        <v>24670.7843696623</v>
      </c>
      <c r="L36" s="29" t="n">
        <f aca="false">K36</f>
        <v>24670.7843696623</v>
      </c>
      <c r="M36" s="29" t="n">
        <f aca="false">M35+L36</f>
        <v>198144.638714251</v>
      </c>
      <c r="N36" s="27" t="n">
        <f aca="false">IF(M36&gt;=0,1,0)</f>
        <v>1</v>
      </c>
    </row>
    <row r="37" customFormat="false" ht="15" hidden="false" customHeight="false" outlineLevel="0" collapsed="false">
      <c r="A37" s="27" t="n">
        <f aca="false">A36+1</f>
        <v>32</v>
      </c>
      <c r="B37" s="28" t="n">
        <f aca="false">MIN(Premissas!$H$11,B36*(1-Premissas!$H$12)+IF(A37=1,Premissas!$H$9,Premissas!$H$10*Premissas!$B$26))</f>
        <v>31.3291108886306</v>
      </c>
      <c r="C37" s="28" t="n">
        <f aca="false">MAX(0,B37-B36*(1-Premissas!$H$12))</f>
        <v>1.5</v>
      </c>
      <c r="D37" s="29" t="n">
        <f aca="false">B37*Premissas!$H$7*Premissas!$B$27</f>
        <v>78322.7772215764</v>
      </c>
      <c r="E37" s="29" t="n">
        <f aca="false">C37*Premissas!$H$8*Premissas!$B$27</f>
        <v>0</v>
      </c>
      <c r="F37" s="29" t="n">
        <f aca="false">D37+E37</f>
        <v>78322.7772215764</v>
      </c>
      <c r="G37" s="29" t="n">
        <f aca="false">F37*Premissas!$H$14</f>
        <v>4699.36663329459</v>
      </c>
      <c r="H37" s="29" t="n">
        <f aca="false">F37*Premissas!$H$13</f>
        <v>35245.2497497094</v>
      </c>
      <c r="I37" s="29" t="n">
        <f aca="false">F37-G37-H37</f>
        <v>38378.1608385724</v>
      </c>
      <c r="J37" s="29" t="n">
        <f aca="false">Premissas!$H$15+Premissas!$H$16</f>
        <v>13000</v>
      </c>
      <c r="K37" s="29" t="n">
        <f aca="false">I37-J37</f>
        <v>25378.1608385724</v>
      </c>
      <c r="L37" s="29" t="n">
        <f aca="false">K37</f>
        <v>25378.1608385724</v>
      </c>
      <c r="M37" s="29" t="n">
        <f aca="false">M36+L37</f>
        <v>223522.799552824</v>
      </c>
      <c r="N37" s="27" t="n">
        <f aca="false">IF(M37&gt;=0,1,0)</f>
        <v>1</v>
      </c>
    </row>
    <row r="38" customFormat="false" ht="15" hidden="false" customHeight="false" outlineLevel="0" collapsed="false">
      <c r="A38" s="27" t="n">
        <f aca="false">A37+1</f>
        <v>33</v>
      </c>
      <c r="B38" s="28" t="n">
        <f aca="false">MIN(Premissas!$H$11,B37*(1-Premissas!$H$12)+IF(A38=1,Premissas!$H$9,Premissas!$H$10*Premissas!$B$26))</f>
        <v>31.8892375619716</v>
      </c>
      <c r="C38" s="28" t="n">
        <f aca="false">MAX(0,B38-B37*(1-Premissas!$H$12))</f>
        <v>1.5</v>
      </c>
      <c r="D38" s="29" t="n">
        <f aca="false">B38*Premissas!$H$7*Premissas!$B$27</f>
        <v>79723.0939049291</v>
      </c>
      <c r="E38" s="29" t="n">
        <f aca="false">C38*Premissas!$H$8*Premissas!$B$27</f>
        <v>0</v>
      </c>
      <c r="F38" s="29" t="n">
        <f aca="false">D38+E38</f>
        <v>79723.0939049291</v>
      </c>
      <c r="G38" s="29" t="n">
        <f aca="false">F38*Premissas!$H$14</f>
        <v>4783.38563429575</v>
      </c>
      <c r="H38" s="29" t="n">
        <f aca="false">F38*Premissas!$H$13</f>
        <v>35875.3922572181</v>
      </c>
      <c r="I38" s="29" t="n">
        <f aca="false">F38-G38-H38</f>
        <v>39064.3160134153</v>
      </c>
      <c r="J38" s="29" t="n">
        <f aca="false">Premissas!$H$15+Premissas!$H$16</f>
        <v>13000</v>
      </c>
      <c r="K38" s="29" t="n">
        <f aca="false">I38-J38</f>
        <v>26064.3160134153</v>
      </c>
      <c r="L38" s="29" t="n">
        <f aca="false">K38</f>
        <v>26064.3160134153</v>
      </c>
      <c r="M38" s="29" t="n">
        <f aca="false">M37+L38</f>
        <v>249587.115566239</v>
      </c>
      <c r="N38" s="27" t="n">
        <f aca="false">IF(M38&gt;=0,1,0)</f>
        <v>1</v>
      </c>
    </row>
    <row r="39" customFormat="false" ht="15" hidden="false" customHeight="false" outlineLevel="0" collapsed="false">
      <c r="A39" s="27" t="n">
        <f aca="false">A38+1</f>
        <v>34</v>
      </c>
      <c r="B39" s="28" t="n">
        <f aca="false">MIN(Premissas!$H$11,B38*(1-Premissas!$H$12)+IF(A39=1,Premissas!$H$9,Premissas!$H$10*Premissas!$B$26))</f>
        <v>32.4325604351125</v>
      </c>
      <c r="C39" s="28" t="n">
        <f aca="false">MAX(0,B39-B38*(1-Premissas!$H$12))</f>
        <v>1.5</v>
      </c>
      <c r="D39" s="29" t="n">
        <f aca="false">B39*Premissas!$H$7*Premissas!$B$27</f>
        <v>81081.4010877812</v>
      </c>
      <c r="E39" s="29" t="n">
        <f aca="false">C39*Premissas!$H$8*Premissas!$B$27</f>
        <v>0</v>
      </c>
      <c r="F39" s="29" t="n">
        <f aca="false">D39+E39</f>
        <v>81081.4010877812</v>
      </c>
      <c r="G39" s="29" t="n">
        <f aca="false">F39*Premissas!$H$14</f>
        <v>4864.88406526687</v>
      </c>
      <c r="H39" s="29" t="n">
        <f aca="false">F39*Premissas!$H$13</f>
        <v>36486.6304895016</v>
      </c>
      <c r="I39" s="29" t="n">
        <f aca="false">F39-G39-H39</f>
        <v>39729.8865330128</v>
      </c>
      <c r="J39" s="29" t="n">
        <f aca="false">Premissas!$H$15+Premissas!$H$16</f>
        <v>13000</v>
      </c>
      <c r="K39" s="29" t="n">
        <f aca="false">I39-J39</f>
        <v>26729.8865330128</v>
      </c>
      <c r="L39" s="29" t="n">
        <f aca="false">K39</f>
        <v>26729.8865330128</v>
      </c>
      <c r="M39" s="29" t="n">
        <f aca="false">M38+L39</f>
        <v>276317.002099252</v>
      </c>
      <c r="N39" s="27" t="n">
        <f aca="false">IF(M39&gt;=0,1,0)</f>
        <v>1</v>
      </c>
    </row>
    <row r="40" customFormat="false" ht="15" hidden="false" customHeight="false" outlineLevel="0" collapsed="false">
      <c r="A40" s="27" t="n">
        <f aca="false">A39+1</f>
        <v>35</v>
      </c>
      <c r="B40" s="28" t="n">
        <f aca="false">MIN(Premissas!$H$11,B39*(1-Premissas!$H$12)+IF(A40=1,Premissas!$H$9,Premissas!$H$10*Premissas!$B$26))</f>
        <v>32.9595836220591</v>
      </c>
      <c r="C40" s="28" t="n">
        <f aca="false">MAX(0,B40-B39*(1-Premissas!$H$12))</f>
        <v>1.5</v>
      </c>
      <c r="D40" s="29" t="n">
        <f aca="false">B40*Premissas!$H$7*Premissas!$B$27</f>
        <v>82398.9590551478</v>
      </c>
      <c r="E40" s="29" t="n">
        <f aca="false">C40*Premissas!$H$8*Premissas!$B$27</f>
        <v>0</v>
      </c>
      <c r="F40" s="29" t="n">
        <f aca="false">D40+E40</f>
        <v>82398.9590551478</v>
      </c>
      <c r="G40" s="29" t="n">
        <f aca="false">F40*Premissas!$H$14</f>
        <v>4943.93754330887</v>
      </c>
      <c r="H40" s="29" t="n">
        <f aca="false">F40*Premissas!$H$13</f>
        <v>37079.5315748165</v>
      </c>
      <c r="I40" s="29" t="n">
        <f aca="false">F40-G40-H40</f>
        <v>40375.4899370224</v>
      </c>
      <c r="J40" s="29" t="n">
        <f aca="false">Premissas!$H$15+Premissas!$H$16</f>
        <v>13000</v>
      </c>
      <c r="K40" s="29" t="n">
        <f aca="false">I40-J40</f>
        <v>27375.4899370224</v>
      </c>
      <c r="L40" s="29" t="n">
        <f aca="false">K40</f>
        <v>27375.4899370224</v>
      </c>
      <c r="M40" s="29" t="n">
        <f aca="false">M39+L40</f>
        <v>303692.492036274</v>
      </c>
      <c r="N40" s="27" t="n">
        <f aca="false">IF(M40&gt;=0,1,0)</f>
        <v>1</v>
      </c>
    </row>
    <row r="41" customFormat="false" ht="15" hidden="false" customHeight="false" outlineLevel="0" collapsed="false">
      <c r="A41" s="31" t="n">
        <f aca="false">A40+1</f>
        <v>36</v>
      </c>
      <c r="B41" s="32" t="n">
        <f aca="false">MIN(Premissas!$H$11,B40*(1-Premissas!$H$12)+IF(A41=1,Premissas!$H$9,Premissas!$H$10*Premissas!$B$26))</f>
        <v>33.4707961133973</v>
      </c>
      <c r="C41" s="32" t="n">
        <f aca="false">MAX(0,B41-B40*(1-Premissas!$H$12))</f>
        <v>1.5</v>
      </c>
      <c r="D41" s="33" t="n">
        <f aca="false">B41*Premissas!$H$7*Premissas!$B$27</f>
        <v>83676.9902834934</v>
      </c>
      <c r="E41" s="33" t="n">
        <f aca="false">C41*Premissas!$H$8*Premissas!$B$27</f>
        <v>0</v>
      </c>
      <c r="F41" s="33" t="n">
        <f aca="false">D41+E41</f>
        <v>83676.9902834934</v>
      </c>
      <c r="G41" s="33" t="n">
        <f aca="false">F41*Premissas!$H$14</f>
        <v>5020.6194170096</v>
      </c>
      <c r="H41" s="33" t="n">
        <f aca="false">F41*Premissas!$H$13</f>
        <v>37654.645627572</v>
      </c>
      <c r="I41" s="33" t="n">
        <f aca="false">F41-G41-H41</f>
        <v>41001.7252389118</v>
      </c>
      <c r="J41" s="33" t="n">
        <f aca="false">Premissas!$H$15+Premissas!$H$16</f>
        <v>13000</v>
      </c>
      <c r="K41" s="33" t="n">
        <f aca="false">I41-J41</f>
        <v>28001.7252389118</v>
      </c>
      <c r="L41" s="33" t="n">
        <f aca="false">K41</f>
        <v>28001.7252389118</v>
      </c>
      <c r="M41" s="33" t="n">
        <f aca="false">M40+L41</f>
        <v>331694.217275186</v>
      </c>
      <c r="N41" s="31" t="n">
        <f aca="false">IF(M41&gt;=0,1,0)</f>
        <v>1</v>
      </c>
    </row>
    <row r="43" customFormat="false" ht="15" hidden="false" customHeight="false" outlineLevel="0" collapsed="false">
      <c r="A43" s="15" t="s">
        <v>147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6" min="4" style="0" width="16"/>
    <col collapsed="false" customWidth="true" hidden="false" outlineLevel="0" max="7" min="7" style="0" width="14"/>
    <col collapsed="false" customWidth="true" hidden="false" outlineLevel="0" max="13" min="8" style="0" width="16"/>
    <col collapsed="false" customWidth="true" hidden="false" outlineLevel="0" max="14" min="14" style="0" width="12"/>
  </cols>
  <sheetData>
    <row r="1" customFormat="false" ht="17.35" hidden="false" customHeight="false" outlineLevel="0" collapsed="false">
      <c r="A1" s="1" t="s">
        <v>154</v>
      </c>
    </row>
    <row r="2" customFormat="false" ht="15" hidden="false" customHeight="false" outlineLevel="0" collapsed="false">
      <c r="A2" s="0" t="s">
        <v>33</v>
      </c>
      <c r="B2" s="5" t="str">
        <f aca="false">Premissas!$B$19</f>
        <v>Base</v>
      </c>
    </row>
    <row r="4" customFormat="false" ht="45" hidden="false" customHeight="true" outlineLevel="0" collapsed="false">
      <c r="A4" s="6" t="s">
        <v>133</v>
      </c>
      <c r="B4" s="6" t="s">
        <v>134</v>
      </c>
      <c r="C4" s="6" t="s">
        <v>135</v>
      </c>
      <c r="D4" s="6" t="s">
        <v>136</v>
      </c>
      <c r="E4" s="6" t="s">
        <v>137</v>
      </c>
      <c r="F4" s="6" t="s">
        <v>138</v>
      </c>
      <c r="G4" s="6" t="s">
        <v>139</v>
      </c>
      <c r="H4" s="6" t="s">
        <v>140</v>
      </c>
      <c r="I4" s="6" t="s">
        <v>141</v>
      </c>
      <c r="J4" s="6" t="s">
        <v>142</v>
      </c>
      <c r="K4" s="6" t="s">
        <v>143</v>
      </c>
      <c r="L4" s="6" t="s">
        <v>144</v>
      </c>
      <c r="M4" s="6" t="s">
        <v>145</v>
      </c>
      <c r="N4" s="6" t="s">
        <v>146</v>
      </c>
    </row>
    <row r="5" customFormat="false" ht="15" hidden="false" customHeight="false" outlineLevel="0" collapsed="false">
      <c r="A5" s="27" t="n">
        <v>0</v>
      </c>
      <c r="B5" s="28" t="n">
        <v>0</v>
      </c>
      <c r="C5" s="28" t="n">
        <v>0</v>
      </c>
      <c r="D5" s="29" t="n">
        <v>0</v>
      </c>
      <c r="E5" s="29" t="n">
        <v>0</v>
      </c>
      <c r="F5" s="29" t="n">
        <v>0</v>
      </c>
      <c r="G5" s="29" t="n">
        <v>0</v>
      </c>
      <c r="H5" s="29" t="n">
        <v>0</v>
      </c>
      <c r="I5" s="29" t="n">
        <v>0</v>
      </c>
      <c r="J5" s="29" t="n">
        <v>0</v>
      </c>
      <c r="K5" s="29" t="n">
        <v>0</v>
      </c>
      <c r="L5" s="30" t="n">
        <f aca="false">-Premissas!$I$6</f>
        <v>-70000</v>
      </c>
      <c r="M5" s="29" t="n">
        <f aca="false">L5</f>
        <v>-70000</v>
      </c>
      <c r="N5" s="27" t="n">
        <f aca="false">IF(M5&gt;=0,1,0)</f>
        <v>0</v>
      </c>
    </row>
    <row r="6" customFormat="false" ht="15" hidden="false" customHeight="false" outlineLevel="0" collapsed="false">
      <c r="A6" s="27" t="n">
        <f aca="false">A5+1</f>
        <v>1</v>
      </c>
      <c r="B6" s="28" t="n">
        <f aca="false">MIN(Premissas!$I$11,B5*(1-Premissas!$I$12)+IF(A6=1,Premissas!$I$9,Premissas!$I$10*Premissas!$B$26))</f>
        <v>10</v>
      </c>
      <c r="C6" s="28" t="n">
        <f aca="false">MAX(0,B6-B5*(1-Premissas!$I$12))</f>
        <v>10</v>
      </c>
      <c r="D6" s="29" t="n">
        <f aca="false">B6*Premissas!$I$7*Premissas!$B$27</f>
        <v>1500</v>
      </c>
      <c r="E6" s="29" t="n">
        <f aca="false">C6*Premissas!$I$8*Premissas!$B$27</f>
        <v>4000</v>
      </c>
      <c r="F6" s="29" t="n">
        <f aca="false">D6+E6</f>
        <v>5500</v>
      </c>
      <c r="G6" s="29" t="n">
        <f aca="false">F6*Premissas!$I$14</f>
        <v>330</v>
      </c>
      <c r="H6" s="29" t="n">
        <f aca="false">F6*Premissas!$I$13</f>
        <v>1650</v>
      </c>
      <c r="I6" s="29" t="n">
        <f aca="false">F6-G6-H6</f>
        <v>3520</v>
      </c>
      <c r="J6" s="29" t="n">
        <f aca="false">Premissas!$I$15+Premissas!$I$16</f>
        <v>10000</v>
      </c>
      <c r="K6" s="29" t="n">
        <f aca="false">I6-J6</f>
        <v>-6480</v>
      </c>
      <c r="L6" s="29" t="n">
        <f aca="false">K6</f>
        <v>-6480</v>
      </c>
      <c r="M6" s="29" t="n">
        <f aca="false">M5+L6</f>
        <v>-76480</v>
      </c>
      <c r="N6" s="27" t="n">
        <f aca="false">IF(M6&gt;=0,1,0)</f>
        <v>0</v>
      </c>
    </row>
    <row r="7" customFormat="false" ht="15" hidden="false" customHeight="false" outlineLevel="0" collapsed="false">
      <c r="A7" s="27" t="n">
        <f aca="false">A6+1</f>
        <v>2</v>
      </c>
      <c r="B7" s="28" t="n">
        <f aca="false">MIN(Premissas!$I$11,B6*(1-Premissas!$I$12)+IF(A7=1,Premissas!$I$9,Premissas!$I$10*Premissas!$B$26))</f>
        <v>24.8</v>
      </c>
      <c r="C7" s="28" t="n">
        <f aca="false">MAX(0,B7-B6*(1-Premissas!$I$12))</f>
        <v>15</v>
      </c>
      <c r="D7" s="29" t="n">
        <f aca="false">B7*Premissas!$I$7*Premissas!$B$27</f>
        <v>3720</v>
      </c>
      <c r="E7" s="29" t="n">
        <f aca="false">C7*Premissas!$I$8*Premissas!$B$27</f>
        <v>6000</v>
      </c>
      <c r="F7" s="29" t="n">
        <f aca="false">D7+E7</f>
        <v>9720</v>
      </c>
      <c r="G7" s="29" t="n">
        <f aca="false">F7*Premissas!$I$14</f>
        <v>583.2</v>
      </c>
      <c r="H7" s="29" t="n">
        <f aca="false">F7*Premissas!$I$13</f>
        <v>2916</v>
      </c>
      <c r="I7" s="29" t="n">
        <f aca="false">F7-G7-H7</f>
        <v>6220.8</v>
      </c>
      <c r="J7" s="29" t="n">
        <f aca="false">Premissas!$I$15+Premissas!$I$16</f>
        <v>10000</v>
      </c>
      <c r="K7" s="29" t="n">
        <f aca="false">I7-J7</f>
        <v>-3779.2</v>
      </c>
      <c r="L7" s="29" t="n">
        <f aca="false">K7</f>
        <v>-3779.2</v>
      </c>
      <c r="M7" s="29" t="n">
        <f aca="false">M6+L7</f>
        <v>-80259.2</v>
      </c>
      <c r="N7" s="27" t="n">
        <f aca="false">IF(M7&gt;=0,1,0)</f>
        <v>0</v>
      </c>
    </row>
    <row r="8" customFormat="false" ht="15" hidden="false" customHeight="false" outlineLevel="0" collapsed="false">
      <c r="A8" s="27" t="n">
        <f aca="false">A7+1</f>
        <v>3</v>
      </c>
      <c r="B8" s="28" t="n">
        <f aca="false">MIN(Premissas!$I$11,B7*(1-Premissas!$I$12)+IF(A8=1,Premissas!$I$9,Premissas!$I$10*Premissas!$B$26))</f>
        <v>39.304</v>
      </c>
      <c r="C8" s="28" t="n">
        <f aca="false">MAX(0,B8-B7*(1-Premissas!$I$12))</f>
        <v>15</v>
      </c>
      <c r="D8" s="29" t="n">
        <f aca="false">B8*Premissas!$I$7*Premissas!$B$27</f>
        <v>5895.6</v>
      </c>
      <c r="E8" s="29" t="n">
        <f aca="false">C8*Premissas!$I$8*Premissas!$B$27</f>
        <v>6000</v>
      </c>
      <c r="F8" s="29" t="n">
        <f aca="false">D8+E8</f>
        <v>11895.6</v>
      </c>
      <c r="G8" s="29" t="n">
        <f aca="false">F8*Premissas!$I$14</f>
        <v>713.736</v>
      </c>
      <c r="H8" s="29" t="n">
        <f aca="false">F8*Premissas!$I$13</f>
        <v>3568.68</v>
      </c>
      <c r="I8" s="29" t="n">
        <f aca="false">F8-G8-H8</f>
        <v>7613.184</v>
      </c>
      <c r="J8" s="29" t="n">
        <f aca="false">Premissas!$I$15+Premissas!$I$16</f>
        <v>10000</v>
      </c>
      <c r="K8" s="29" t="n">
        <f aca="false">I8-J8</f>
        <v>-2386.816</v>
      </c>
      <c r="L8" s="29" t="n">
        <f aca="false">K8</f>
        <v>-2386.816</v>
      </c>
      <c r="M8" s="29" t="n">
        <f aca="false">M7+L8</f>
        <v>-82646.016</v>
      </c>
      <c r="N8" s="27" t="n">
        <f aca="false">IF(M8&gt;=0,1,0)</f>
        <v>0</v>
      </c>
    </row>
    <row r="9" customFormat="false" ht="15" hidden="false" customHeight="false" outlineLevel="0" collapsed="false">
      <c r="A9" s="27" t="n">
        <f aca="false">A8+1</f>
        <v>4</v>
      </c>
      <c r="B9" s="28" t="n">
        <f aca="false">MIN(Premissas!$I$11,B8*(1-Premissas!$I$12)+IF(A9=1,Premissas!$I$9,Premissas!$I$10*Premissas!$B$26))</f>
        <v>53.51792</v>
      </c>
      <c r="C9" s="28" t="n">
        <f aca="false">MAX(0,B9-B8*(1-Premissas!$I$12))</f>
        <v>15</v>
      </c>
      <c r="D9" s="29" t="n">
        <f aca="false">B9*Premissas!$I$7*Premissas!$B$27</f>
        <v>8027.688</v>
      </c>
      <c r="E9" s="29" t="n">
        <f aca="false">C9*Premissas!$I$8*Premissas!$B$27</f>
        <v>6000</v>
      </c>
      <c r="F9" s="29" t="n">
        <f aca="false">D9+E9</f>
        <v>14027.688</v>
      </c>
      <c r="G9" s="29" t="n">
        <f aca="false">F9*Premissas!$I$14</f>
        <v>841.66128</v>
      </c>
      <c r="H9" s="29" t="n">
        <f aca="false">F9*Premissas!$I$13</f>
        <v>4208.3064</v>
      </c>
      <c r="I9" s="29" t="n">
        <f aca="false">F9-G9-H9</f>
        <v>8977.72032</v>
      </c>
      <c r="J9" s="29" t="n">
        <f aca="false">Premissas!$I$15+Premissas!$I$16</f>
        <v>10000</v>
      </c>
      <c r="K9" s="29" t="n">
        <f aca="false">I9-J9</f>
        <v>-1022.27968</v>
      </c>
      <c r="L9" s="29" t="n">
        <f aca="false">K9</f>
        <v>-1022.27968</v>
      </c>
      <c r="M9" s="29" t="n">
        <f aca="false">M8+L9</f>
        <v>-83668.29568</v>
      </c>
      <c r="N9" s="27" t="n">
        <f aca="false">IF(M9&gt;=0,1,0)</f>
        <v>0</v>
      </c>
    </row>
    <row r="10" customFormat="false" ht="15" hidden="false" customHeight="false" outlineLevel="0" collapsed="false">
      <c r="A10" s="27" t="n">
        <f aca="false">A9+1</f>
        <v>5</v>
      </c>
      <c r="B10" s="28" t="n">
        <f aca="false">MIN(Premissas!$I$11,B9*(1-Premissas!$I$12)+IF(A10=1,Premissas!$I$9,Premissas!$I$10*Premissas!$B$26))</f>
        <v>67.4475616</v>
      </c>
      <c r="C10" s="28" t="n">
        <f aca="false">MAX(0,B10-B9*(1-Premissas!$I$12))</f>
        <v>15</v>
      </c>
      <c r="D10" s="29" t="n">
        <f aca="false">B10*Premissas!$I$7*Premissas!$B$27</f>
        <v>10117.13424</v>
      </c>
      <c r="E10" s="29" t="n">
        <f aca="false">C10*Premissas!$I$8*Premissas!$B$27</f>
        <v>6000</v>
      </c>
      <c r="F10" s="29" t="n">
        <f aca="false">D10+E10</f>
        <v>16117.13424</v>
      </c>
      <c r="G10" s="29" t="n">
        <f aca="false">F10*Premissas!$I$14</f>
        <v>967.0280544</v>
      </c>
      <c r="H10" s="29" t="n">
        <f aca="false">F10*Premissas!$I$13</f>
        <v>4835.140272</v>
      </c>
      <c r="I10" s="29" t="n">
        <f aca="false">F10-G10-H10</f>
        <v>10314.9659136</v>
      </c>
      <c r="J10" s="29" t="n">
        <f aca="false">Premissas!$I$15+Premissas!$I$16</f>
        <v>10000</v>
      </c>
      <c r="K10" s="29" t="n">
        <f aca="false">I10-J10</f>
        <v>314.965913600001</v>
      </c>
      <c r="L10" s="29" t="n">
        <f aca="false">K10</f>
        <v>314.965913600001</v>
      </c>
      <c r="M10" s="29" t="n">
        <f aca="false">M9+L10</f>
        <v>-83353.3297664</v>
      </c>
      <c r="N10" s="27" t="n">
        <f aca="false">IF(M10&gt;=0,1,0)</f>
        <v>0</v>
      </c>
    </row>
    <row r="11" customFormat="false" ht="15" hidden="false" customHeight="false" outlineLevel="0" collapsed="false">
      <c r="A11" s="27" t="n">
        <f aca="false">A10+1</f>
        <v>6</v>
      </c>
      <c r="B11" s="28" t="n">
        <f aca="false">MIN(Premissas!$I$11,B10*(1-Premissas!$I$12)+IF(A11=1,Premissas!$I$9,Premissas!$I$10*Premissas!$B$26))</f>
        <v>81.098610368</v>
      </c>
      <c r="C11" s="28" t="n">
        <f aca="false">MAX(0,B11-B10*(1-Premissas!$I$12))</f>
        <v>15</v>
      </c>
      <c r="D11" s="29" t="n">
        <f aca="false">B11*Premissas!$I$7*Premissas!$B$27</f>
        <v>12164.7915552</v>
      </c>
      <c r="E11" s="29" t="n">
        <f aca="false">C11*Premissas!$I$8*Premissas!$B$27</f>
        <v>6000</v>
      </c>
      <c r="F11" s="29" t="n">
        <f aca="false">D11+E11</f>
        <v>18164.7915552</v>
      </c>
      <c r="G11" s="29" t="n">
        <f aca="false">F11*Premissas!$I$14</f>
        <v>1089.887493312</v>
      </c>
      <c r="H11" s="29" t="n">
        <f aca="false">F11*Premissas!$I$13</f>
        <v>5449.43746656</v>
      </c>
      <c r="I11" s="29" t="n">
        <f aca="false">F11-G11-H11</f>
        <v>11625.466595328</v>
      </c>
      <c r="J11" s="29" t="n">
        <f aca="false">Premissas!$I$15+Premissas!$I$16</f>
        <v>10000</v>
      </c>
      <c r="K11" s="29" t="n">
        <f aca="false">I11-J11</f>
        <v>1625.466595328</v>
      </c>
      <c r="L11" s="29" t="n">
        <f aca="false">K11</f>
        <v>1625.466595328</v>
      </c>
      <c r="M11" s="29" t="n">
        <f aca="false">M10+L11</f>
        <v>-81727.863171072</v>
      </c>
      <c r="N11" s="27" t="n">
        <f aca="false">IF(M11&gt;=0,1,0)</f>
        <v>0</v>
      </c>
    </row>
    <row r="12" customFormat="false" ht="15" hidden="false" customHeight="false" outlineLevel="0" collapsed="false">
      <c r="A12" s="27" t="n">
        <f aca="false">A11+1</f>
        <v>7</v>
      </c>
      <c r="B12" s="28" t="n">
        <f aca="false">MIN(Premissas!$I$11,B11*(1-Premissas!$I$12)+IF(A12=1,Premissas!$I$9,Premissas!$I$10*Premissas!$B$26))</f>
        <v>94.47663816064</v>
      </c>
      <c r="C12" s="28" t="n">
        <f aca="false">MAX(0,B12-B11*(1-Premissas!$I$12))</f>
        <v>15</v>
      </c>
      <c r="D12" s="29" t="n">
        <f aca="false">B12*Premissas!$I$7*Premissas!$B$27</f>
        <v>14171.495724096</v>
      </c>
      <c r="E12" s="29" t="n">
        <f aca="false">C12*Premissas!$I$8*Premissas!$B$27</f>
        <v>6000</v>
      </c>
      <c r="F12" s="29" t="n">
        <f aca="false">D12+E12</f>
        <v>20171.495724096</v>
      </c>
      <c r="G12" s="29" t="n">
        <f aca="false">F12*Premissas!$I$14</f>
        <v>1210.28974344576</v>
      </c>
      <c r="H12" s="29" t="n">
        <f aca="false">F12*Premissas!$I$13</f>
        <v>6051.4487172288</v>
      </c>
      <c r="I12" s="29" t="n">
        <f aca="false">F12-G12-H12</f>
        <v>12909.7572634214</v>
      </c>
      <c r="J12" s="29" t="n">
        <f aca="false">Premissas!$I$15+Premissas!$I$16</f>
        <v>10000</v>
      </c>
      <c r="K12" s="29" t="n">
        <f aca="false">I12-J12</f>
        <v>2909.75726342144</v>
      </c>
      <c r="L12" s="29" t="n">
        <f aca="false">K12</f>
        <v>2909.75726342144</v>
      </c>
      <c r="M12" s="29" t="n">
        <f aca="false">M11+L12</f>
        <v>-78818.1059076506</v>
      </c>
      <c r="N12" s="27" t="n">
        <f aca="false">IF(M12&gt;=0,1,0)</f>
        <v>0</v>
      </c>
    </row>
    <row r="13" customFormat="false" ht="15" hidden="false" customHeight="false" outlineLevel="0" collapsed="false">
      <c r="A13" s="27" t="n">
        <f aca="false">A12+1</f>
        <v>8</v>
      </c>
      <c r="B13" s="28" t="n">
        <f aca="false">MIN(Premissas!$I$11,B12*(1-Premissas!$I$12)+IF(A13=1,Premissas!$I$9,Premissas!$I$10*Premissas!$B$26))</f>
        <v>107.587105397427</v>
      </c>
      <c r="C13" s="28" t="n">
        <f aca="false">MAX(0,B13-B12*(1-Premissas!$I$12))</f>
        <v>15</v>
      </c>
      <c r="D13" s="29" t="n">
        <f aca="false">B13*Premissas!$I$7*Premissas!$B$27</f>
        <v>16138.0658096141</v>
      </c>
      <c r="E13" s="29" t="n">
        <f aca="false">C13*Premissas!$I$8*Premissas!$B$27</f>
        <v>6000</v>
      </c>
      <c r="F13" s="29" t="n">
        <f aca="false">D13+E13</f>
        <v>22138.0658096141</v>
      </c>
      <c r="G13" s="29" t="n">
        <f aca="false">F13*Premissas!$I$14</f>
        <v>1328.28394857684</v>
      </c>
      <c r="H13" s="29" t="n">
        <f aca="false">F13*Premissas!$I$13</f>
        <v>6641.41974288422</v>
      </c>
      <c r="I13" s="29" t="n">
        <f aca="false">F13-G13-H13</f>
        <v>14168.362118153</v>
      </c>
      <c r="J13" s="29" t="n">
        <f aca="false">Premissas!$I$15+Premissas!$I$16</f>
        <v>10000</v>
      </c>
      <c r="K13" s="29" t="n">
        <f aca="false">I13-J13</f>
        <v>4168.36211815301</v>
      </c>
      <c r="L13" s="29" t="n">
        <f aca="false">K13</f>
        <v>4168.36211815301</v>
      </c>
      <c r="M13" s="29" t="n">
        <f aca="false">M12+L13</f>
        <v>-74649.7437894976</v>
      </c>
      <c r="N13" s="27" t="n">
        <f aca="false">IF(M13&gt;=0,1,0)</f>
        <v>0</v>
      </c>
    </row>
    <row r="14" customFormat="false" ht="15" hidden="false" customHeight="false" outlineLevel="0" collapsed="false">
      <c r="A14" s="27" t="n">
        <f aca="false">A13+1</f>
        <v>9</v>
      </c>
      <c r="B14" s="28" t="n">
        <f aca="false">MIN(Premissas!$I$11,B13*(1-Premissas!$I$12)+IF(A14=1,Premissas!$I$9,Premissas!$I$10*Premissas!$B$26))</f>
        <v>120.435363289479</v>
      </c>
      <c r="C14" s="28" t="n">
        <f aca="false">MAX(0,B14-B13*(1-Premissas!$I$12))</f>
        <v>15</v>
      </c>
      <c r="D14" s="29" t="n">
        <f aca="false">B14*Premissas!$I$7*Premissas!$B$27</f>
        <v>18065.3044934218</v>
      </c>
      <c r="E14" s="29" t="n">
        <f aca="false">C14*Premissas!$I$8*Premissas!$B$27</f>
        <v>6000</v>
      </c>
      <c r="F14" s="29" t="n">
        <f aca="false">D14+E14</f>
        <v>24065.3044934218</v>
      </c>
      <c r="G14" s="29" t="n">
        <f aca="false">F14*Premissas!$I$14</f>
        <v>1443.91826960531</v>
      </c>
      <c r="H14" s="29" t="n">
        <f aca="false">F14*Premissas!$I$13</f>
        <v>7219.59134802654</v>
      </c>
      <c r="I14" s="29" t="n">
        <f aca="false">F14-G14-H14</f>
        <v>15401.79487579</v>
      </c>
      <c r="J14" s="29" t="n">
        <f aca="false">Premissas!$I$15+Premissas!$I$16</f>
        <v>10000</v>
      </c>
      <c r="K14" s="29" t="n">
        <f aca="false">I14-J14</f>
        <v>5401.79487578995</v>
      </c>
      <c r="L14" s="29" t="n">
        <f aca="false">K14</f>
        <v>5401.79487578995</v>
      </c>
      <c r="M14" s="29" t="n">
        <f aca="false">M13+L14</f>
        <v>-69247.9489137076</v>
      </c>
      <c r="N14" s="27" t="n">
        <f aca="false">IF(M14&gt;=0,1,0)</f>
        <v>0</v>
      </c>
    </row>
    <row r="15" customFormat="false" ht="15" hidden="false" customHeight="false" outlineLevel="0" collapsed="false">
      <c r="A15" s="27" t="n">
        <f aca="false">A14+1</f>
        <v>10</v>
      </c>
      <c r="B15" s="28" t="n">
        <f aca="false">MIN(Premissas!$I$11,B14*(1-Premissas!$I$12)+IF(A15=1,Premissas!$I$9,Premissas!$I$10*Premissas!$B$26))</f>
        <v>133.026656023689</v>
      </c>
      <c r="C15" s="28" t="n">
        <f aca="false">MAX(0,B15-B14*(1-Premissas!$I$12))</f>
        <v>15</v>
      </c>
      <c r="D15" s="29" t="n">
        <f aca="false">B15*Premissas!$I$7*Premissas!$B$27</f>
        <v>19953.9984035534</v>
      </c>
      <c r="E15" s="29" t="n">
        <f aca="false">C15*Premissas!$I$8*Premissas!$B$27</f>
        <v>6000</v>
      </c>
      <c r="F15" s="29" t="n">
        <f aca="false">D15+E15</f>
        <v>25953.9984035534</v>
      </c>
      <c r="G15" s="29" t="n">
        <f aca="false">F15*Premissas!$I$14</f>
        <v>1557.2399042132</v>
      </c>
      <c r="H15" s="29" t="n">
        <f aca="false">F15*Premissas!$I$13</f>
        <v>7786.19952106601</v>
      </c>
      <c r="I15" s="29" t="n">
        <f aca="false">F15-G15-H15</f>
        <v>16610.5589782742</v>
      </c>
      <c r="J15" s="29" t="n">
        <f aca="false">Premissas!$I$15+Premissas!$I$16</f>
        <v>10000</v>
      </c>
      <c r="K15" s="29" t="n">
        <f aca="false">I15-J15</f>
        <v>6610.55897827415</v>
      </c>
      <c r="L15" s="29" t="n">
        <f aca="false">K15</f>
        <v>6610.55897827415</v>
      </c>
      <c r="M15" s="29" t="n">
        <f aca="false">M14+L15</f>
        <v>-62637.3899354335</v>
      </c>
      <c r="N15" s="27" t="n">
        <f aca="false">IF(M15&gt;=0,1,0)</f>
        <v>0</v>
      </c>
    </row>
    <row r="16" customFormat="false" ht="15" hidden="false" customHeight="false" outlineLevel="0" collapsed="false">
      <c r="A16" s="27" t="n">
        <f aca="false">A15+1</f>
        <v>11</v>
      </c>
      <c r="B16" s="28" t="n">
        <f aca="false">MIN(Premissas!$I$11,B15*(1-Premissas!$I$12)+IF(A16=1,Premissas!$I$9,Premissas!$I$10*Premissas!$B$26))</f>
        <v>145.366122903215</v>
      </c>
      <c r="C16" s="28" t="n">
        <f aca="false">MAX(0,B16-B15*(1-Premissas!$I$12))</f>
        <v>15</v>
      </c>
      <c r="D16" s="29" t="n">
        <f aca="false">B16*Premissas!$I$7*Premissas!$B$27</f>
        <v>21804.9184354823</v>
      </c>
      <c r="E16" s="29" t="n">
        <f aca="false">C16*Premissas!$I$8*Premissas!$B$27</f>
        <v>6000</v>
      </c>
      <c r="F16" s="29" t="n">
        <f aca="false">D16+E16</f>
        <v>27804.9184354823</v>
      </c>
      <c r="G16" s="29" t="n">
        <f aca="false">F16*Premissas!$I$14</f>
        <v>1668.29510612894</v>
      </c>
      <c r="H16" s="29" t="n">
        <f aca="false">F16*Premissas!$I$13</f>
        <v>8341.47553064469</v>
      </c>
      <c r="I16" s="29" t="n">
        <f aca="false">F16-G16-H16</f>
        <v>17795.1477987087</v>
      </c>
      <c r="J16" s="29" t="n">
        <f aca="false">Premissas!$I$15+Premissas!$I$16</f>
        <v>10000</v>
      </c>
      <c r="K16" s="29" t="n">
        <f aca="false">I16-J16</f>
        <v>7795.14779870867</v>
      </c>
      <c r="L16" s="29" t="n">
        <f aca="false">K16</f>
        <v>7795.14779870867</v>
      </c>
      <c r="M16" s="29" t="n">
        <f aca="false">M15+L16</f>
        <v>-54842.2421367248</v>
      </c>
      <c r="N16" s="27" t="n">
        <f aca="false">IF(M16&gt;=0,1,0)</f>
        <v>0</v>
      </c>
    </row>
    <row r="17" customFormat="false" ht="15" hidden="false" customHeight="false" outlineLevel="0" collapsed="false">
      <c r="A17" s="31" t="n">
        <f aca="false">A16+1</f>
        <v>12</v>
      </c>
      <c r="B17" s="32" t="n">
        <f aca="false">MIN(Premissas!$I$11,B16*(1-Premissas!$I$12)+IF(A17=1,Premissas!$I$9,Premissas!$I$10*Premissas!$B$26))</f>
        <v>157.458800445151</v>
      </c>
      <c r="C17" s="32" t="n">
        <f aca="false">MAX(0,B17-B16*(1-Premissas!$I$12))</f>
        <v>15</v>
      </c>
      <c r="D17" s="33" t="n">
        <f aca="false">B17*Premissas!$I$7*Premissas!$B$27</f>
        <v>23618.8200667727</v>
      </c>
      <c r="E17" s="33" t="n">
        <f aca="false">C17*Premissas!$I$8*Premissas!$B$27</f>
        <v>6000</v>
      </c>
      <c r="F17" s="33" t="n">
        <f aca="false">D17+E17</f>
        <v>29618.8200667727</v>
      </c>
      <c r="G17" s="33" t="n">
        <f aca="false">F17*Premissas!$I$14</f>
        <v>1777.12920400636</v>
      </c>
      <c r="H17" s="33" t="n">
        <f aca="false">F17*Premissas!$I$13</f>
        <v>8885.64602003179</v>
      </c>
      <c r="I17" s="33" t="n">
        <f aca="false">F17-G17-H17</f>
        <v>18956.0448427345</v>
      </c>
      <c r="J17" s="33" t="n">
        <f aca="false">Premissas!$I$15+Premissas!$I$16</f>
        <v>10000</v>
      </c>
      <c r="K17" s="33" t="n">
        <f aca="false">I17-J17</f>
        <v>8956.0448427345</v>
      </c>
      <c r="L17" s="33" t="n">
        <f aca="false">K17</f>
        <v>8956.0448427345</v>
      </c>
      <c r="M17" s="33" t="n">
        <f aca="false">M16+L17</f>
        <v>-45886.1972939903</v>
      </c>
      <c r="N17" s="31" t="n">
        <f aca="false">IF(M17&gt;=0,1,0)</f>
        <v>0</v>
      </c>
    </row>
    <row r="18" customFormat="false" ht="15" hidden="false" customHeight="false" outlineLevel="0" collapsed="false">
      <c r="A18" s="27" t="n">
        <f aca="false">A17+1</f>
        <v>13</v>
      </c>
      <c r="B18" s="28" t="n">
        <f aca="false">MIN(Premissas!$I$11,B17*(1-Premissas!$I$12)+IF(A18=1,Premissas!$I$9,Premissas!$I$10*Premissas!$B$26))</f>
        <v>169.309624436248</v>
      </c>
      <c r="C18" s="28" t="n">
        <f aca="false">MAX(0,B18-B17*(1-Premissas!$I$12))</f>
        <v>15</v>
      </c>
      <c r="D18" s="29" t="n">
        <f aca="false">B18*Premissas!$I$7*Premissas!$B$27</f>
        <v>25396.4436654372</v>
      </c>
      <c r="E18" s="29" t="n">
        <f aca="false">C18*Premissas!$I$8*Premissas!$B$27</f>
        <v>6000</v>
      </c>
      <c r="F18" s="29" t="n">
        <f aca="false">D18+E18</f>
        <v>31396.4436654372</v>
      </c>
      <c r="G18" s="29" t="n">
        <f aca="false">F18*Premissas!$I$14</f>
        <v>1883.78661992623</v>
      </c>
      <c r="H18" s="29" t="n">
        <f aca="false">F18*Premissas!$I$13</f>
        <v>9418.93309963116</v>
      </c>
      <c r="I18" s="29" t="n">
        <f aca="false">F18-G18-H18</f>
        <v>20093.7239458798</v>
      </c>
      <c r="J18" s="29" t="n">
        <f aca="false">Premissas!$I$15+Premissas!$I$16</f>
        <v>10000</v>
      </c>
      <c r="K18" s="29" t="n">
        <f aca="false">I18-J18</f>
        <v>10093.7239458798</v>
      </c>
      <c r="L18" s="29" t="n">
        <f aca="false">K18</f>
        <v>10093.7239458798</v>
      </c>
      <c r="M18" s="29" t="n">
        <f aca="false">M17+L18</f>
        <v>-35792.4733481105</v>
      </c>
      <c r="N18" s="27" t="n">
        <f aca="false">IF(M18&gt;=0,1,0)</f>
        <v>0</v>
      </c>
    </row>
    <row r="19" customFormat="false" ht="15" hidden="false" customHeight="false" outlineLevel="0" collapsed="false">
      <c r="A19" s="27" t="n">
        <f aca="false">A18+1</f>
        <v>14</v>
      </c>
      <c r="B19" s="28" t="n">
        <f aca="false">MIN(Premissas!$I$11,B18*(1-Premissas!$I$12)+IF(A19=1,Premissas!$I$9,Premissas!$I$10*Premissas!$B$26))</f>
        <v>180.923431947523</v>
      </c>
      <c r="C19" s="28" t="n">
        <f aca="false">MAX(0,B19-B18*(1-Premissas!$I$12))</f>
        <v>15</v>
      </c>
      <c r="D19" s="29" t="n">
        <f aca="false">B19*Premissas!$I$7*Premissas!$B$27</f>
        <v>27138.5147921285</v>
      </c>
      <c r="E19" s="29" t="n">
        <f aca="false">C19*Premissas!$I$8*Premissas!$B$27</f>
        <v>6000</v>
      </c>
      <c r="F19" s="29" t="n">
        <f aca="false">D19+E19</f>
        <v>33138.5147921285</v>
      </c>
      <c r="G19" s="29" t="n">
        <f aca="false">F19*Premissas!$I$14</f>
        <v>1988.31088752771</v>
      </c>
      <c r="H19" s="29" t="n">
        <f aca="false">F19*Premissas!$I$13</f>
        <v>9941.55443763854</v>
      </c>
      <c r="I19" s="29" t="n">
        <f aca="false">F19-G19-H19</f>
        <v>21208.6494669622</v>
      </c>
      <c r="J19" s="29" t="n">
        <f aca="false">Premissas!$I$15+Premissas!$I$16</f>
        <v>10000</v>
      </c>
      <c r="K19" s="29" t="n">
        <f aca="false">I19-J19</f>
        <v>11208.6494669622</v>
      </c>
      <c r="L19" s="29" t="n">
        <f aca="false">K19</f>
        <v>11208.6494669622</v>
      </c>
      <c r="M19" s="29" t="n">
        <f aca="false">M18+L19</f>
        <v>-24583.8238811483</v>
      </c>
      <c r="N19" s="27" t="n">
        <f aca="false">IF(M19&gt;=0,1,0)</f>
        <v>0</v>
      </c>
    </row>
    <row r="20" customFormat="false" ht="15" hidden="false" customHeight="false" outlineLevel="0" collapsed="false">
      <c r="A20" s="27" t="n">
        <f aca="false">A19+1</f>
        <v>15</v>
      </c>
      <c r="B20" s="28" t="n">
        <f aca="false">MIN(Premissas!$I$11,B19*(1-Premissas!$I$12)+IF(A20=1,Premissas!$I$9,Premissas!$I$10*Premissas!$B$26))</f>
        <v>192.304963308573</v>
      </c>
      <c r="C20" s="28" t="n">
        <f aca="false">MAX(0,B20-B19*(1-Premissas!$I$12))</f>
        <v>15</v>
      </c>
      <c r="D20" s="29" t="n">
        <f aca="false">B20*Premissas!$I$7*Premissas!$B$27</f>
        <v>28845.7444962859</v>
      </c>
      <c r="E20" s="29" t="n">
        <f aca="false">C20*Premissas!$I$8*Premissas!$B$27</f>
        <v>6000</v>
      </c>
      <c r="F20" s="29" t="n">
        <f aca="false">D20+E20</f>
        <v>34845.7444962859</v>
      </c>
      <c r="G20" s="29" t="n">
        <f aca="false">F20*Premissas!$I$14</f>
        <v>2090.74466977715</v>
      </c>
      <c r="H20" s="29" t="n">
        <f aca="false">F20*Premissas!$I$13</f>
        <v>10453.7233488858</v>
      </c>
      <c r="I20" s="29" t="n">
        <f aca="false">F20-G20-H20</f>
        <v>22301.276477623</v>
      </c>
      <c r="J20" s="29" t="n">
        <f aca="false">Premissas!$I$15+Premissas!$I$16</f>
        <v>10000</v>
      </c>
      <c r="K20" s="29" t="n">
        <f aca="false">I20-J20</f>
        <v>12301.276477623</v>
      </c>
      <c r="L20" s="29" t="n">
        <f aca="false">K20</f>
        <v>12301.276477623</v>
      </c>
      <c r="M20" s="29" t="n">
        <f aca="false">M19+L20</f>
        <v>-12282.5474035253</v>
      </c>
      <c r="N20" s="27" t="n">
        <f aca="false">IF(M20&gt;=0,1,0)</f>
        <v>0</v>
      </c>
    </row>
    <row r="21" customFormat="false" ht="15" hidden="false" customHeight="false" outlineLevel="0" collapsed="false">
      <c r="A21" s="27" t="n">
        <f aca="false">A20+1</f>
        <v>16</v>
      </c>
      <c r="B21" s="28" t="n">
        <f aca="false">MIN(Premissas!$I$11,B20*(1-Premissas!$I$12)+IF(A21=1,Premissas!$I$9,Premissas!$I$10*Premissas!$B$26))</f>
        <v>203.458864042401</v>
      </c>
      <c r="C21" s="28" t="n">
        <f aca="false">MAX(0,B21-B20*(1-Premissas!$I$12))</f>
        <v>15</v>
      </c>
      <c r="D21" s="29" t="n">
        <f aca="false">B21*Premissas!$I$7*Premissas!$B$27</f>
        <v>30518.8296063602</v>
      </c>
      <c r="E21" s="29" t="n">
        <f aca="false">C21*Premissas!$I$8*Premissas!$B$27</f>
        <v>6000</v>
      </c>
      <c r="F21" s="29" t="n">
        <f aca="false">D21+E21</f>
        <v>36518.8296063602</v>
      </c>
      <c r="G21" s="29" t="n">
        <f aca="false">F21*Premissas!$I$14</f>
        <v>2191.12977638161</v>
      </c>
      <c r="H21" s="29" t="n">
        <f aca="false">F21*Premissas!$I$13</f>
        <v>10955.648881908</v>
      </c>
      <c r="I21" s="29" t="n">
        <f aca="false">F21-G21-H21</f>
        <v>23372.0509480705</v>
      </c>
      <c r="J21" s="29" t="n">
        <f aca="false">Premissas!$I$15+Premissas!$I$16</f>
        <v>10000</v>
      </c>
      <c r="K21" s="29" t="n">
        <f aca="false">I21-J21</f>
        <v>13372.0509480705</v>
      </c>
      <c r="L21" s="29" t="n">
        <f aca="false">K21</f>
        <v>13372.0509480705</v>
      </c>
      <c r="M21" s="29" t="n">
        <f aca="false">M20+L21</f>
        <v>1089.5035445452</v>
      </c>
      <c r="N21" s="27" t="n">
        <f aca="false">IF(M21&gt;=0,1,0)</f>
        <v>1</v>
      </c>
    </row>
    <row r="22" customFormat="false" ht="15" hidden="false" customHeight="false" outlineLevel="0" collapsed="false">
      <c r="A22" s="27" t="n">
        <f aca="false">A21+1</f>
        <v>17</v>
      </c>
      <c r="B22" s="28" t="n">
        <f aca="false">MIN(Premissas!$I$11,B21*(1-Premissas!$I$12)+IF(A22=1,Premissas!$I$9,Premissas!$I$10*Premissas!$B$26))</f>
        <v>214.389686761553</v>
      </c>
      <c r="C22" s="28" t="n">
        <f aca="false">MAX(0,B22-B21*(1-Premissas!$I$12))</f>
        <v>15</v>
      </c>
      <c r="D22" s="29" t="n">
        <f aca="false">B22*Premissas!$I$7*Premissas!$B$27</f>
        <v>32158.453014233</v>
      </c>
      <c r="E22" s="29" t="n">
        <f aca="false">C22*Premissas!$I$8*Premissas!$B$27</f>
        <v>6000</v>
      </c>
      <c r="F22" s="29" t="n">
        <f aca="false">D22+E22</f>
        <v>38158.453014233</v>
      </c>
      <c r="G22" s="29" t="n">
        <f aca="false">F22*Premissas!$I$14</f>
        <v>2289.50718085398</v>
      </c>
      <c r="H22" s="29" t="n">
        <f aca="false">F22*Premissas!$I$13</f>
        <v>11447.5359042699</v>
      </c>
      <c r="I22" s="29" t="n">
        <f aca="false">F22-G22-H22</f>
        <v>24421.4099291091</v>
      </c>
      <c r="J22" s="29" t="n">
        <f aca="false">Premissas!$I$15+Premissas!$I$16</f>
        <v>10000</v>
      </c>
      <c r="K22" s="29" t="n">
        <f aca="false">I22-J22</f>
        <v>14421.4099291091</v>
      </c>
      <c r="L22" s="29" t="n">
        <f aca="false">K22</f>
        <v>14421.4099291091</v>
      </c>
      <c r="M22" s="29" t="n">
        <f aca="false">M21+L22</f>
        <v>15510.9134736543</v>
      </c>
      <c r="N22" s="27" t="n">
        <f aca="false">IF(M22&gt;=0,1,0)</f>
        <v>1</v>
      </c>
    </row>
    <row r="23" customFormat="false" ht="15" hidden="false" customHeight="false" outlineLevel="0" collapsed="false">
      <c r="A23" s="27" t="n">
        <f aca="false">A22+1</f>
        <v>18</v>
      </c>
      <c r="B23" s="28" t="n">
        <f aca="false">MIN(Premissas!$I$11,B22*(1-Premissas!$I$12)+IF(A23=1,Premissas!$I$9,Premissas!$I$10*Premissas!$B$26))</f>
        <v>225.101893026322</v>
      </c>
      <c r="C23" s="28" t="n">
        <f aca="false">MAX(0,B23-B22*(1-Premissas!$I$12))</f>
        <v>15</v>
      </c>
      <c r="D23" s="29" t="n">
        <f aca="false">B23*Premissas!$I$7*Premissas!$B$27</f>
        <v>33765.2839539483</v>
      </c>
      <c r="E23" s="29" t="n">
        <f aca="false">C23*Premissas!$I$8*Premissas!$B$27</f>
        <v>6000</v>
      </c>
      <c r="F23" s="29" t="n">
        <f aca="false">D23+E23</f>
        <v>39765.2839539483</v>
      </c>
      <c r="G23" s="29" t="n">
        <f aca="false">F23*Premissas!$I$14</f>
        <v>2385.9170372369</v>
      </c>
      <c r="H23" s="29" t="n">
        <f aca="false">F23*Premissas!$I$13</f>
        <v>11929.5851861845</v>
      </c>
      <c r="I23" s="29" t="n">
        <f aca="false">F23-G23-H23</f>
        <v>25449.7817305269</v>
      </c>
      <c r="J23" s="29" t="n">
        <f aca="false">Premissas!$I$15+Premissas!$I$16</f>
        <v>10000</v>
      </c>
      <c r="K23" s="29" t="n">
        <f aca="false">I23-J23</f>
        <v>15449.7817305269</v>
      </c>
      <c r="L23" s="29" t="n">
        <f aca="false">K23</f>
        <v>15449.7817305269</v>
      </c>
      <c r="M23" s="29" t="n">
        <f aca="false">M22+L23</f>
        <v>30960.6952041812</v>
      </c>
      <c r="N23" s="27" t="n">
        <f aca="false">IF(M23&gt;=0,1,0)</f>
        <v>1</v>
      </c>
    </row>
    <row r="24" customFormat="false" ht="15" hidden="false" customHeight="false" outlineLevel="0" collapsed="false">
      <c r="A24" s="27" t="n">
        <f aca="false">A23+1</f>
        <v>19</v>
      </c>
      <c r="B24" s="28" t="n">
        <f aca="false">MIN(Premissas!$I$11,B23*(1-Premissas!$I$12)+IF(A24=1,Premissas!$I$9,Premissas!$I$10*Premissas!$B$26))</f>
        <v>235.599855165796</v>
      </c>
      <c r="C24" s="28" t="n">
        <f aca="false">MAX(0,B24-B23*(1-Premissas!$I$12))</f>
        <v>15</v>
      </c>
      <c r="D24" s="29" t="n">
        <f aca="false">B24*Premissas!$I$7*Premissas!$B$27</f>
        <v>35339.9782748693</v>
      </c>
      <c r="E24" s="29" t="n">
        <f aca="false">C24*Premissas!$I$8*Premissas!$B$27</f>
        <v>6000</v>
      </c>
      <c r="F24" s="29" t="n">
        <f aca="false">D24+E24</f>
        <v>41339.9782748693</v>
      </c>
      <c r="G24" s="29" t="n">
        <f aca="false">F24*Premissas!$I$14</f>
        <v>2480.39869649216</v>
      </c>
      <c r="H24" s="29" t="n">
        <f aca="false">F24*Premissas!$I$13</f>
        <v>12401.9934824608</v>
      </c>
      <c r="I24" s="29" t="n">
        <f aca="false">F24-G24-H24</f>
        <v>26457.5860959164</v>
      </c>
      <c r="J24" s="29" t="n">
        <f aca="false">Premissas!$I$15+Premissas!$I$16</f>
        <v>10000</v>
      </c>
      <c r="K24" s="29" t="n">
        <f aca="false">I24-J24</f>
        <v>16457.5860959164</v>
      </c>
      <c r="L24" s="29" t="n">
        <f aca="false">K24</f>
        <v>16457.5860959164</v>
      </c>
      <c r="M24" s="29" t="n">
        <f aca="false">M23+L24</f>
        <v>47418.2813000976</v>
      </c>
      <c r="N24" s="27" t="n">
        <f aca="false">IF(M24&gt;=0,1,0)</f>
        <v>1</v>
      </c>
    </row>
    <row r="25" customFormat="false" ht="15" hidden="false" customHeight="false" outlineLevel="0" collapsed="false">
      <c r="A25" s="27" t="n">
        <f aca="false">A24+1</f>
        <v>20</v>
      </c>
      <c r="B25" s="28" t="n">
        <f aca="false">MIN(Premissas!$I$11,B24*(1-Premissas!$I$12)+IF(A25=1,Premissas!$I$9,Premissas!$I$10*Premissas!$B$26))</f>
        <v>245.88785806248</v>
      </c>
      <c r="C25" s="28" t="n">
        <f aca="false">MAX(0,B25-B24*(1-Premissas!$I$12))</f>
        <v>15</v>
      </c>
      <c r="D25" s="29" t="n">
        <f aca="false">B25*Premissas!$I$7*Premissas!$B$27</f>
        <v>36883.1787093719</v>
      </c>
      <c r="E25" s="29" t="n">
        <f aca="false">C25*Premissas!$I$8*Premissas!$B$27</f>
        <v>6000</v>
      </c>
      <c r="F25" s="29" t="n">
        <f aca="false">D25+E25</f>
        <v>42883.1787093719</v>
      </c>
      <c r="G25" s="29" t="n">
        <f aca="false">F25*Premissas!$I$14</f>
        <v>2572.99072256232</v>
      </c>
      <c r="H25" s="29" t="n">
        <f aca="false">F25*Premissas!$I$13</f>
        <v>12864.9536128116</v>
      </c>
      <c r="I25" s="29" t="n">
        <f aca="false">F25-G25-H25</f>
        <v>27445.234373998</v>
      </c>
      <c r="J25" s="29" t="n">
        <f aca="false">Premissas!$I$15+Premissas!$I$16</f>
        <v>10000</v>
      </c>
      <c r="K25" s="29" t="n">
        <f aca="false">I25-J25</f>
        <v>17445.234373998</v>
      </c>
      <c r="L25" s="29" t="n">
        <f aca="false">K25</f>
        <v>17445.234373998</v>
      </c>
      <c r="M25" s="29" t="n">
        <f aca="false">M24+L25</f>
        <v>64863.5156740956</v>
      </c>
      <c r="N25" s="27" t="n">
        <f aca="false">IF(M25&gt;=0,1,0)</f>
        <v>1</v>
      </c>
    </row>
    <row r="26" customFormat="false" ht="15" hidden="false" customHeight="false" outlineLevel="0" collapsed="false">
      <c r="A26" s="27" t="n">
        <f aca="false">A25+1</f>
        <v>21</v>
      </c>
      <c r="B26" s="28" t="n">
        <f aca="false">MIN(Premissas!$I$11,B25*(1-Premissas!$I$12)+IF(A26=1,Premissas!$I$9,Premissas!$I$10*Premissas!$B$26))</f>
        <v>255.97010090123</v>
      </c>
      <c r="C26" s="28" t="n">
        <f aca="false">MAX(0,B26-B25*(1-Premissas!$I$12))</f>
        <v>15</v>
      </c>
      <c r="D26" s="29" t="n">
        <f aca="false">B26*Premissas!$I$7*Premissas!$B$27</f>
        <v>38395.5151351845</v>
      </c>
      <c r="E26" s="29" t="n">
        <f aca="false">C26*Premissas!$I$8*Premissas!$B$27</f>
        <v>6000</v>
      </c>
      <c r="F26" s="29" t="n">
        <f aca="false">D26+E26</f>
        <v>44395.5151351845</v>
      </c>
      <c r="G26" s="29" t="n">
        <f aca="false">F26*Premissas!$I$14</f>
        <v>2663.73090811107</v>
      </c>
      <c r="H26" s="29" t="n">
        <f aca="false">F26*Premissas!$I$13</f>
        <v>13318.6545405554</v>
      </c>
      <c r="I26" s="29" t="n">
        <f aca="false">F26-G26-H26</f>
        <v>28413.1296865181</v>
      </c>
      <c r="J26" s="29" t="n">
        <f aca="false">Premissas!$I$15+Premissas!$I$16</f>
        <v>10000</v>
      </c>
      <c r="K26" s="29" t="n">
        <f aca="false">I26-J26</f>
        <v>18413.1296865181</v>
      </c>
      <c r="L26" s="29" t="n">
        <f aca="false">K26</f>
        <v>18413.1296865181</v>
      </c>
      <c r="M26" s="29" t="n">
        <f aca="false">M25+L26</f>
        <v>83276.6453606137</v>
      </c>
      <c r="N26" s="27" t="n">
        <f aca="false">IF(M26&gt;=0,1,0)</f>
        <v>1</v>
      </c>
    </row>
    <row r="27" customFormat="false" ht="15" hidden="false" customHeight="false" outlineLevel="0" collapsed="false">
      <c r="A27" s="27" t="n">
        <f aca="false">A26+1</f>
        <v>22</v>
      </c>
      <c r="B27" s="28" t="n">
        <f aca="false">MIN(Premissas!$I$11,B26*(1-Premissas!$I$12)+IF(A27=1,Premissas!$I$9,Premissas!$I$10*Premissas!$B$26))</f>
        <v>265.850698883205</v>
      </c>
      <c r="C27" s="28" t="n">
        <f aca="false">MAX(0,B27-B26*(1-Premissas!$I$12))</f>
        <v>15</v>
      </c>
      <c r="D27" s="29" t="n">
        <f aca="false">B27*Premissas!$I$7*Premissas!$B$27</f>
        <v>39877.6048324808</v>
      </c>
      <c r="E27" s="29" t="n">
        <f aca="false">C27*Premissas!$I$8*Premissas!$B$27</f>
        <v>6000</v>
      </c>
      <c r="F27" s="29" t="n">
        <f aca="false">D27+E27</f>
        <v>45877.6048324808</v>
      </c>
      <c r="G27" s="29" t="n">
        <f aca="false">F27*Premissas!$I$14</f>
        <v>2752.65628994885</v>
      </c>
      <c r="H27" s="29" t="n">
        <f aca="false">F27*Premissas!$I$13</f>
        <v>13763.2814497442</v>
      </c>
      <c r="I27" s="29" t="n">
        <f aca="false">F27-G27-H27</f>
        <v>29361.6670927877</v>
      </c>
      <c r="J27" s="29" t="n">
        <f aca="false">Premissas!$I$15+Premissas!$I$16</f>
        <v>10000</v>
      </c>
      <c r="K27" s="29" t="n">
        <f aca="false">I27-J27</f>
        <v>19361.6670927877</v>
      </c>
      <c r="L27" s="29" t="n">
        <f aca="false">K27</f>
        <v>19361.6670927877</v>
      </c>
      <c r="M27" s="29" t="n">
        <f aca="false">M26+L27</f>
        <v>102638.312453401</v>
      </c>
      <c r="N27" s="27" t="n">
        <f aca="false">IF(M27&gt;=0,1,0)</f>
        <v>1</v>
      </c>
    </row>
    <row r="28" customFormat="false" ht="15" hidden="false" customHeight="false" outlineLevel="0" collapsed="false">
      <c r="A28" s="27" t="n">
        <f aca="false">A27+1</f>
        <v>23</v>
      </c>
      <c r="B28" s="28" t="n">
        <f aca="false">MIN(Premissas!$I$11,B27*(1-Premissas!$I$12)+IF(A28=1,Premissas!$I$9,Premissas!$I$10*Premissas!$B$26))</f>
        <v>275.533684905541</v>
      </c>
      <c r="C28" s="28" t="n">
        <f aca="false">MAX(0,B28-B27*(1-Premissas!$I$12))</f>
        <v>15</v>
      </c>
      <c r="D28" s="29" t="n">
        <f aca="false">B28*Premissas!$I$7*Premissas!$B$27</f>
        <v>41330.0527358312</v>
      </c>
      <c r="E28" s="29" t="n">
        <f aca="false">C28*Premissas!$I$8*Premissas!$B$27</f>
        <v>6000</v>
      </c>
      <c r="F28" s="29" t="n">
        <f aca="false">D28+E28</f>
        <v>47330.0527358312</v>
      </c>
      <c r="G28" s="29" t="n">
        <f aca="false">F28*Premissas!$I$14</f>
        <v>2839.80316414987</v>
      </c>
      <c r="H28" s="29" t="n">
        <f aca="false">F28*Premissas!$I$13</f>
        <v>14199.0158207494</v>
      </c>
      <c r="I28" s="29" t="n">
        <f aca="false">F28-G28-H28</f>
        <v>30291.233750932</v>
      </c>
      <c r="J28" s="29" t="n">
        <f aca="false">Premissas!$I$15+Premissas!$I$16</f>
        <v>10000</v>
      </c>
      <c r="K28" s="29" t="n">
        <f aca="false">I28-J28</f>
        <v>20291.233750932</v>
      </c>
      <c r="L28" s="29" t="n">
        <f aca="false">K28</f>
        <v>20291.233750932</v>
      </c>
      <c r="M28" s="29" t="n">
        <f aca="false">M27+L28</f>
        <v>122929.546204333</v>
      </c>
      <c r="N28" s="27" t="n">
        <f aca="false">IF(M28&gt;=0,1,0)</f>
        <v>1</v>
      </c>
    </row>
    <row r="29" customFormat="false" ht="15" hidden="false" customHeight="false" outlineLevel="0" collapsed="false">
      <c r="A29" s="31" t="n">
        <f aca="false">A28+1</f>
        <v>24</v>
      </c>
      <c r="B29" s="32" t="n">
        <f aca="false">MIN(Premissas!$I$11,B28*(1-Premissas!$I$12)+IF(A29=1,Premissas!$I$9,Premissas!$I$10*Premissas!$B$26))</f>
        <v>285.02301120743</v>
      </c>
      <c r="C29" s="32" t="n">
        <f aca="false">MAX(0,B29-B28*(1-Premissas!$I$12))</f>
        <v>15</v>
      </c>
      <c r="D29" s="33" t="n">
        <f aca="false">B29*Premissas!$I$7*Premissas!$B$27</f>
        <v>42753.4516811146</v>
      </c>
      <c r="E29" s="33" t="n">
        <f aca="false">C29*Premissas!$I$8*Premissas!$B$27</f>
        <v>6000</v>
      </c>
      <c r="F29" s="33" t="n">
        <f aca="false">D29+E29</f>
        <v>48753.4516811146</v>
      </c>
      <c r="G29" s="33" t="n">
        <f aca="false">F29*Premissas!$I$14</f>
        <v>2925.20710086687</v>
      </c>
      <c r="H29" s="33" t="n">
        <f aca="false">F29*Premissas!$I$13</f>
        <v>14626.0355043344</v>
      </c>
      <c r="I29" s="33" t="n">
        <f aca="false">F29-G29-H29</f>
        <v>31202.2090759133</v>
      </c>
      <c r="J29" s="33" t="n">
        <f aca="false">Premissas!$I$15+Premissas!$I$16</f>
        <v>10000</v>
      </c>
      <c r="K29" s="33" t="n">
        <f aca="false">I29-J29</f>
        <v>21202.2090759133</v>
      </c>
      <c r="L29" s="33" t="n">
        <f aca="false">K29</f>
        <v>21202.2090759133</v>
      </c>
      <c r="M29" s="33" t="n">
        <f aca="false">M28+L29</f>
        <v>144131.755280247</v>
      </c>
      <c r="N29" s="31" t="n">
        <f aca="false">IF(M29&gt;=0,1,0)</f>
        <v>1</v>
      </c>
    </row>
    <row r="30" customFormat="false" ht="15" hidden="false" customHeight="false" outlineLevel="0" collapsed="false">
      <c r="A30" s="27" t="n">
        <f aca="false">A29+1</f>
        <v>25</v>
      </c>
      <c r="B30" s="28" t="n">
        <f aca="false">MIN(Premissas!$I$11,B29*(1-Premissas!$I$12)+IF(A30=1,Premissas!$I$9,Premissas!$I$10*Premissas!$B$26))</f>
        <v>294.322550983282</v>
      </c>
      <c r="C30" s="28" t="n">
        <f aca="false">MAX(0,B30-B29*(1-Premissas!$I$12))</f>
        <v>15</v>
      </c>
      <c r="D30" s="29" t="n">
        <f aca="false">B30*Premissas!$I$7*Premissas!$B$27</f>
        <v>44148.3826474923</v>
      </c>
      <c r="E30" s="29" t="n">
        <f aca="false">C30*Premissas!$I$8*Premissas!$B$27</f>
        <v>6000</v>
      </c>
      <c r="F30" s="29" t="n">
        <f aca="false">D30+E30</f>
        <v>50148.3826474923</v>
      </c>
      <c r="G30" s="29" t="n">
        <f aca="false">F30*Premissas!$I$14</f>
        <v>3008.90295884954</v>
      </c>
      <c r="H30" s="29" t="n">
        <f aca="false">F30*Premissas!$I$13</f>
        <v>15044.5147942477</v>
      </c>
      <c r="I30" s="29" t="n">
        <f aca="false">F30-G30-H30</f>
        <v>32094.9648943951</v>
      </c>
      <c r="J30" s="29" t="n">
        <f aca="false">Premissas!$I$15+Premissas!$I$16</f>
        <v>10000</v>
      </c>
      <c r="K30" s="29" t="n">
        <f aca="false">I30-J30</f>
        <v>22094.9648943951</v>
      </c>
      <c r="L30" s="29" t="n">
        <f aca="false">K30</f>
        <v>22094.9648943951</v>
      </c>
      <c r="M30" s="29" t="n">
        <f aca="false">M29+L30</f>
        <v>166226.720174642</v>
      </c>
      <c r="N30" s="27" t="n">
        <f aca="false">IF(M30&gt;=0,1,0)</f>
        <v>1</v>
      </c>
    </row>
    <row r="31" customFormat="false" ht="15" hidden="false" customHeight="false" outlineLevel="0" collapsed="false">
      <c r="A31" s="27" t="n">
        <f aca="false">A30+1</f>
        <v>26</v>
      </c>
      <c r="B31" s="28" t="n">
        <f aca="false">MIN(Premissas!$I$11,B30*(1-Premissas!$I$12)+IF(A31=1,Premissas!$I$9,Premissas!$I$10*Premissas!$B$26))</f>
        <v>303.436099963616</v>
      </c>
      <c r="C31" s="28" t="n">
        <f aca="false">MAX(0,B31-B30*(1-Premissas!$I$12))</f>
        <v>15</v>
      </c>
      <c r="D31" s="29" t="n">
        <f aca="false">B31*Premissas!$I$7*Premissas!$B$27</f>
        <v>45515.4149945424</v>
      </c>
      <c r="E31" s="29" t="n">
        <f aca="false">C31*Premissas!$I$8*Premissas!$B$27</f>
        <v>6000</v>
      </c>
      <c r="F31" s="29" t="n">
        <f aca="false">D31+E31</f>
        <v>51515.4149945424</v>
      </c>
      <c r="G31" s="29" t="n">
        <f aca="false">F31*Premissas!$I$14</f>
        <v>3090.92489967255</v>
      </c>
      <c r="H31" s="29" t="n">
        <f aca="false">F31*Premissas!$I$13</f>
        <v>15454.6244983627</v>
      </c>
      <c r="I31" s="29" t="n">
        <f aca="false">F31-G31-H31</f>
        <v>32969.8655965072</v>
      </c>
      <c r="J31" s="29" t="n">
        <f aca="false">Premissas!$I$15+Premissas!$I$16</f>
        <v>10000</v>
      </c>
      <c r="K31" s="29" t="n">
        <f aca="false">I31-J31</f>
        <v>22969.8655965072</v>
      </c>
      <c r="L31" s="29" t="n">
        <f aca="false">K31</f>
        <v>22969.8655965072</v>
      </c>
      <c r="M31" s="29" t="n">
        <f aca="false">M30+L31</f>
        <v>189196.585771149</v>
      </c>
      <c r="N31" s="27" t="n">
        <f aca="false">IF(M31&gt;=0,1,0)</f>
        <v>1</v>
      </c>
    </row>
    <row r="32" customFormat="false" ht="15" hidden="false" customHeight="false" outlineLevel="0" collapsed="false">
      <c r="A32" s="27" t="n">
        <f aca="false">A31+1</f>
        <v>27</v>
      </c>
      <c r="B32" s="28" t="n">
        <f aca="false">MIN(Premissas!$I$11,B31*(1-Premissas!$I$12)+IF(A32=1,Premissas!$I$9,Premissas!$I$10*Premissas!$B$26))</f>
        <v>312.367377964344</v>
      </c>
      <c r="C32" s="28" t="n">
        <f aca="false">MAX(0,B32-B31*(1-Premissas!$I$12))</f>
        <v>15</v>
      </c>
      <c r="D32" s="29" t="n">
        <f aca="false">B32*Premissas!$I$7*Premissas!$B$27</f>
        <v>46855.1066946516</v>
      </c>
      <c r="E32" s="29" t="n">
        <f aca="false">C32*Premissas!$I$8*Premissas!$B$27</f>
        <v>6000</v>
      </c>
      <c r="F32" s="29" t="n">
        <f aca="false">D32+E32</f>
        <v>52855.1066946516</v>
      </c>
      <c r="G32" s="29" t="n">
        <f aca="false">F32*Premissas!$I$14</f>
        <v>3171.30640167909</v>
      </c>
      <c r="H32" s="29" t="n">
        <f aca="false">F32*Premissas!$I$13</f>
        <v>15856.5320083955</v>
      </c>
      <c r="I32" s="29" t="n">
        <f aca="false">F32-G32-H32</f>
        <v>33827.268284577</v>
      </c>
      <c r="J32" s="29" t="n">
        <f aca="false">Premissas!$I$15+Premissas!$I$16</f>
        <v>10000</v>
      </c>
      <c r="K32" s="29" t="n">
        <f aca="false">I32-J32</f>
        <v>23827.268284577</v>
      </c>
      <c r="L32" s="29" t="n">
        <f aca="false">K32</f>
        <v>23827.268284577</v>
      </c>
      <c r="M32" s="29" t="n">
        <f aca="false">M31+L32</f>
        <v>213023.854055726</v>
      </c>
      <c r="N32" s="27" t="n">
        <f aca="false">IF(M32&gt;=0,1,0)</f>
        <v>1</v>
      </c>
    </row>
    <row r="33" customFormat="false" ht="15" hidden="false" customHeight="false" outlineLevel="0" collapsed="false">
      <c r="A33" s="27" t="n">
        <f aca="false">A32+1</f>
        <v>28</v>
      </c>
      <c r="B33" s="28" t="n">
        <f aca="false">MIN(Premissas!$I$11,B32*(1-Premissas!$I$12)+IF(A33=1,Premissas!$I$9,Premissas!$I$10*Premissas!$B$26))</f>
        <v>321.120030405057</v>
      </c>
      <c r="C33" s="28" t="n">
        <f aca="false">MAX(0,B33-B32*(1-Premissas!$I$12))</f>
        <v>15</v>
      </c>
      <c r="D33" s="29" t="n">
        <f aca="false">B33*Premissas!$I$7*Premissas!$B$27</f>
        <v>48168.0045607586</v>
      </c>
      <c r="E33" s="29" t="n">
        <f aca="false">C33*Premissas!$I$8*Premissas!$B$27</f>
        <v>6000</v>
      </c>
      <c r="F33" s="29" t="n">
        <f aca="false">D33+E33</f>
        <v>54168.0045607586</v>
      </c>
      <c r="G33" s="29" t="n">
        <f aca="false">F33*Premissas!$I$14</f>
        <v>3250.08027364551</v>
      </c>
      <c r="H33" s="29" t="n">
        <f aca="false">F33*Premissas!$I$13</f>
        <v>16250.4013682276</v>
      </c>
      <c r="I33" s="29" t="n">
        <f aca="false">F33-G33-H33</f>
        <v>34667.5229188855</v>
      </c>
      <c r="J33" s="29" t="n">
        <f aca="false">Premissas!$I$15+Premissas!$I$16</f>
        <v>10000</v>
      </c>
      <c r="K33" s="29" t="n">
        <f aca="false">I33-J33</f>
        <v>24667.5229188855</v>
      </c>
      <c r="L33" s="29" t="n">
        <f aca="false">K33</f>
        <v>24667.5229188855</v>
      </c>
      <c r="M33" s="29" t="n">
        <f aca="false">M32+L33</f>
        <v>237691.376974611</v>
      </c>
      <c r="N33" s="27" t="n">
        <f aca="false">IF(M33&gt;=0,1,0)</f>
        <v>1</v>
      </c>
    </row>
    <row r="34" customFormat="false" ht="15" hidden="false" customHeight="false" outlineLevel="0" collapsed="false">
      <c r="A34" s="27" t="n">
        <f aca="false">A33+1</f>
        <v>29</v>
      </c>
      <c r="B34" s="28" t="n">
        <f aca="false">MIN(Premissas!$I$11,B33*(1-Premissas!$I$12)+IF(A34=1,Premissas!$I$9,Premissas!$I$10*Premissas!$B$26))</f>
        <v>329.697629796956</v>
      </c>
      <c r="C34" s="28" t="n">
        <f aca="false">MAX(0,B34-B33*(1-Premissas!$I$12))</f>
        <v>15</v>
      </c>
      <c r="D34" s="29" t="n">
        <f aca="false">B34*Premissas!$I$7*Premissas!$B$27</f>
        <v>49454.6444695434</v>
      </c>
      <c r="E34" s="29" t="n">
        <f aca="false">C34*Premissas!$I$8*Premissas!$B$27</f>
        <v>6000</v>
      </c>
      <c r="F34" s="29" t="n">
        <f aca="false">D34+E34</f>
        <v>55454.6444695434</v>
      </c>
      <c r="G34" s="29" t="n">
        <f aca="false">F34*Premissas!$I$14</f>
        <v>3327.2786681726</v>
      </c>
      <c r="H34" s="29" t="n">
        <f aca="false">F34*Premissas!$I$13</f>
        <v>16636.393340863</v>
      </c>
      <c r="I34" s="29" t="n">
        <f aca="false">F34-G34-H34</f>
        <v>35490.9724605078</v>
      </c>
      <c r="J34" s="29" t="n">
        <f aca="false">Premissas!$I$15+Premissas!$I$16</f>
        <v>10000</v>
      </c>
      <c r="K34" s="29" t="n">
        <f aca="false">I34-J34</f>
        <v>25490.9724605078</v>
      </c>
      <c r="L34" s="29" t="n">
        <f aca="false">K34</f>
        <v>25490.9724605078</v>
      </c>
      <c r="M34" s="29" t="n">
        <f aca="false">M33+L34</f>
        <v>263182.349435119</v>
      </c>
      <c r="N34" s="27" t="n">
        <f aca="false">IF(M34&gt;=0,1,0)</f>
        <v>1</v>
      </c>
    </row>
    <row r="35" customFormat="false" ht="15" hidden="false" customHeight="false" outlineLevel="0" collapsed="false">
      <c r="A35" s="27" t="n">
        <f aca="false">A34+1</f>
        <v>30</v>
      </c>
      <c r="B35" s="28" t="n">
        <f aca="false">MIN(Premissas!$I$11,B34*(1-Premissas!$I$12)+IF(A35=1,Premissas!$I$9,Premissas!$I$10*Premissas!$B$26))</f>
        <v>338.103677201017</v>
      </c>
      <c r="C35" s="28" t="n">
        <f aca="false">MAX(0,B35-B34*(1-Premissas!$I$12))</f>
        <v>15</v>
      </c>
      <c r="D35" s="29" t="n">
        <f aca="false">B35*Premissas!$I$7*Premissas!$B$27</f>
        <v>50715.5515801525</v>
      </c>
      <c r="E35" s="29" t="n">
        <f aca="false">C35*Premissas!$I$8*Premissas!$B$27</f>
        <v>6000</v>
      </c>
      <c r="F35" s="29" t="n">
        <f aca="false">D35+E35</f>
        <v>56715.5515801525</v>
      </c>
      <c r="G35" s="29" t="n">
        <f aca="false">F35*Premissas!$I$14</f>
        <v>3402.93309480915</v>
      </c>
      <c r="H35" s="29" t="n">
        <f aca="false">F35*Premissas!$I$13</f>
        <v>17014.6654740458</v>
      </c>
      <c r="I35" s="29" t="n">
        <f aca="false">F35-G35-H35</f>
        <v>36297.9530112976</v>
      </c>
      <c r="J35" s="29" t="n">
        <f aca="false">Premissas!$I$15+Premissas!$I$16</f>
        <v>10000</v>
      </c>
      <c r="K35" s="29" t="n">
        <f aca="false">I35-J35</f>
        <v>26297.9530112976</v>
      </c>
      <c r="L35" s="29" t="n">
        <f aca="false">K35</f>
        <v>26297.9530112976</v>
      </c>
      <c r="M35" s="29" t="n">
        <f aca="false">M34+L35</f>
        <v>289480.302446417</v>
      </c>
      <c r="N35" s="27" t="n">
        <f aca="false">IF(M35&gt;=0,1,0)</f>
        <v>1</v>
      </c>
    </row>
    <row r="36" customFormat="false" ht="15" hidden="false" customHeight="false" outlineLevel="0" collapsed="false">
      <c r="A36" s="27" t="n">
        <f aca="false">A35+1</f>
        <v>31</v>
      </c>
      <c r="B36" s="28" t="n">
        <f aca="false">MIN(Premissas!$I$11,B35*(1-Premissas!$I$12)+IF(A36=1,Premissas!$I$9,Premissas!$I$10*Premissas!$B$26))</f>
        <v>346.341603656996</v>
      </c>
      <c r="C36" s="28" t="n">
        <f aca="false">MAX(0,B36-B35*(1-Premissas!$I$12))</f>
        <v>15</v>
      </c>
      <c r="D36" s="29" t="n">
        <f aca="false">B36*Premissas!$I$7*Premissas!$B$27</f>
        <v>51951.2405485495</v>
      </c>
      <c r="E36" s="29" t="n">
        <f aca="false">C36*Premissas!$I$8*Premissas!$B$27</f>
        <v>6000</v>
      </c>
      <c r="F36" s="29" t="n">
        <f aca="false">D36+E36</f>
        <v>57951.2405485495</v>
      </c>
      <c r="G36" s="29" t="n">
        <f aca="false">F36*Premissas!$I$14</f>
        <v>3477.07443291297</v>
      </c>
      <c r="H36" s="29" t="n">
        <f aca="false">F36*Premissas!$I$13</f>
        <v>17385.3721645648</v>
      </c>
      <c r="I36" s="29" t="n">
        <f aca="false">F36-G36-H36</f>
        <v>37088.7939510717</v>
      </c>
      <c r="J36" s="29" t="n">
        <f aca="false">Premissas!$I$15+Premissas!$I$16</f>
        <v>10000</v>
      </c>
      <c r="K36" s="29" t="n">
        <f aca="false">I36-J36</f>
        <v>27088.7939510717</v>
      </c>
      <c r="L36" s="29" t="n">
        <f aca="false">K36</f>
        <v>27088.7939510717</v>
      </c>
      <c r="M36" s="29" t="n">
        <f aca="false">M35+L36</f>
        <v>316569.096397488</v>
      </c>
      <c r="N36" s="27" t="n">
        <f aca="false">IF(M36&gt;=0,1,0)</f>
        <v>1</v>
      </c>
    </row>
    <row r="37" customFormat="false" ht="15" hidden="false" customHeight="false" outlineLevel="0" collapsed="false">
      <c r="A37" s="27" t="n">
        <f aca="false">A36+1</f>
        <v>32</v>
      </c>
      <c r="B37" s="28" t="n">
        <f aca="false">MIN(Premissas!$I$11,B36*(1-Premissas!$I$12)+IF(A37=1,Premissas!$I$9,Premissas!$I$10*Premissas!$B$26))</f>
        <v>354.414771583856</v>
      </c>
      <c r="C37" s="28" t="n">
        <f aca="false">MAX(0,B37-B36*(1-Premissas!$I$12))</f>
        <v>15</v>
      </c>
      <c r="D37" s="29" t="n">
        <f aca="false">B37*Premissas!$I$7*Premissas!$B$27</f>
        <v>53162.2157375785</v>
      </c>
      <c r="E37" s="29" t="n">
        <f aca="false">C37*Premissas!$I$8*Premissas!$B$27</f>
        <v>6000</v>
      </c>
      <c r="F37" s="29" t="n">
        <f aca="false">D37+E37</f>
        <v>59162.2157375785</v>
      </c>
      <c r="G37" s="29" t="n">
        <f aca="false">F37*Premissas!$I$14</f>
        <v>3549.73294425471</v>
      </c>
      <c r="H37" s="29" t="n">
        <f aca="false">F37*Premissas!$I$13</f>
        <v>17748.6647212735</v>
      </c>
      <c r="I37" s="29" t="n">
        <f aca="false">F37-G37-H37</f>
        <v>37863.8180720502</v>
      </c>
      <c r="J37" s="29" t="n">
        <f aca="false">Premissas!$I$15+Premissas!$I$16</f>
        <v>10000</v>
      </c>
      <c r="K37" s="29" t="n">
        <f aca="false">I37-J37</f>
        <v>27863.8180720502</v>
      </c>
      <c r="L37" s="29" t="n">
        <f aca="false">K37</f>
        <v>27863.8180720502</v>
      </c>
      <c r="M37" s="29" t="n">
        <f aca="false">M36+L37</f>
        <v>344432.914469539</v>
      </c>
      <c r="N37" s="27" t="n">
        <f aca="false">IF(M37&gt;=0,1,0)</f>
        <v>1</v>
      </c>
    </row>
    <row r="38" customFormat="false" ht="15" hidden="false" customHeight="false" outlineLevel="0" collapsed="false">
      <c r="A38" s="27" t="n">
        <f aca="false">A37+1</f>
        <v>33</v>
      </c>
      <c r="B38" s="28" t="n">
        <f aca="false">MIN(Premissas!$I$11,B37*(1-Premissas!$I$12)+IF(A38=1,Premissas!$I$9,Premissas!$I$10*Premissas!$B$26))</f>
        <v>362.326476152179</v>
      </c>
      <c r="C38" s="28" t="n">
        <f aca="false">MAX(0,B38-B37*(1-Premissas!$I$12))</f>
        <v>15</v>
      </c>
      <c r="D38" s="29" t="n">
        <f aca="false">B38*Premissas!$I$7*Premissas!$B$27</f>
        <v>54348.9714228269</v>
      </c>
      <c r="E38" s="29" t="n">
        <f aca="false">C38*Premissas!$I$8*Premissas!$B$27</f>
        <v>6000</v>
      </c>
      <c r="F38" s="29" t="n">
        <f aca="false">D38+E38</f>
        <v>60348.9714228269</v>
      </c>
      <c r="G38" s="29" t="n">
        <f aca="false">F38*Premissas!$I$14</f>
        <v>3620.93828536961</v>
      </c>
      <c r="H38" s="29" t="n">
        <f aca="false">F38*Premissas!$I$13</f>
        <v>18104.6914268481</v>
      </c>
      <c r="I38" s="29" t="n">
        <f aca="false">F38-G38-H38</f>
        <v>38623.3417106092</v>
      </c>
      <c r="J38" s="29" t="n">
        <f aca="false">Premissas!$I$15+Premissas!$I$16</f>
        <v>10000</v>
      </c>
      <c r="K38" s="29" t="n">
        <f aca="false">I38-J38</f>
        <v>28623.3417106092</v>
      </c>
      <c r="L38" s="29" t="n">
        <f aca="false">K38</f>
        <v>28623.3417106092</v>
      </c>
      <c r="M38" s="29" t="n">
        <f aca="false">M37+L38</f>
        <v>373056.256180148</v>
      </c>
      <c r="N38" s="27" t="n">
        <f aca="false">IF(M38&gt;=0,1,0)</f>
        <v>1</v>
      </c>
    </row>
    <row r="39" customFormat="false" ht="15" hidden="false" customHeight="false" outlineLevel="0" collapsed="false">
      <c r="A39" s="27" t="n">
        <f aca="false">A38+1</f>
        <v>34</v>
      </c>
      <c r="B39" s="28" t="n">
        <f aca="false">MIN(Premissas!$I$11,B38*(1-Premissas!$I$12)+IF(A39=1,Premissas!$I$9,Premissas!$I$10*Premissas!$B$26))</f>
        <v>370.079946629136</v>
      </c>
      <c r="C39" s="28" t="n">
        <f aca="false">MAX(0,B39-B38*(1-Premissas!$I$12))</f>
        <v>15</v>
      </c>
      <c r="D39" s="29" t="n">
        <f aca="false">B39*Premissas!$I$7*Premissas!$B$27</f>
        <v>55511.9919943704</v>
      </c>
      <c r="E39" s="29" t="n">
        <f aca="false">C39*Premissas!$I$8*Premissas!$B$27</f>
        <v>6000</v>
      </c>
      <c r="F39" s="29" t="n">
        <f aca="false">D39+E39</f>
        <v>61511.9919943704</v>
      </c>
      <c r="G39" s="29" t="n">
        <f aca="false">F39*Premissas!$I$14</f>
        <v>3690.71951966222</v>
      </c>
      <c r="H39" s="29" t="n">
        <f aca="false">F39*Premissas!$I$13</f>
        <v>18453.5975983111</v>
      </c>
      <c r="I39" s="29" t="n">
        <f aca="false">F39-G39-H39</f>
        <v>39367.674876397</v>
      </c>
      <c r="J39" s="29" t="n">
        <f aca="false">Premissas!$I$15+Premissas!$I$16</f>
        <v>10000</v>
      </c>
      <c r="K39" s="29" t="n">
        <f aca="false">I39-J39</f>
        <v>29367.674876397</v>
      </c>
      <c r="L39" s="29" t="n">
        <f aca="false">K39</f>
        <v>29367.674876397</v>
      </c>
      <c r="M39" s="29" t="n">
        <f aca="false">M38+L39</f>
        <v>402423.931056545</v>
      </c>
      <c r="N39" s="27" t="n">
        <f aca="false">IF(M39&gt;=0,1,0)</f>
        <v>1</v>
      </c>
    </row>
    <row r="40" customFormat="false" ht="15" hidden="false" customHeight="false" outlineLevel="0" collapsed="false">
      <c r="A40" s="27" t="n">
        <f aca="false">A39+1</f>
        <v>35</v>
      </c>
      <c r="B40" s="28" t="n">
        <f aca="false">MIN(Premissas!$I$11,B39*(1-Premissas!$I$12)+IF(A40=1,Premissas!$I$9,Premissas!$I$10*Premissas!$B$26))</f>
        <v>377.678347696553</v>
      </c>
      <c r="C40" s="28" t="n">
        <f aca="false">MAX(0,B40-B39*(1-Premissas!$I$12))</f>
        <v>15</v>
      </c>
      <c r="D40" s="29" t="n">
        <f aca="false">B40*Premissas!$I$7*Premissas!$B$27</f>
        <v>56651.752154483</v>
      </c>
      <c r="E40" s="29" t="n">
        <f aca="false">C40*Premissas!$I$8*Premissas!$B$27</f>
        <v>6000</v>
      </c>
      <c r="F40" s="29" t="n">
        <f aca="false">D40+E40</f>
        <v>62651.752154483</v>
      </c>
      <c r="G40" s="29" t="n">
        <f aca="false">F40*Premissas!$I$14</f>
        <v>3759.10512926898</v>
      </c>
      <c r="H40" s="29" t="n">
        <f aca="false">F40*Premissas!$I$13</f>
        <v>18795.5256463449</v>
      </c>
      <c r="I40" s="29" t="n">
        <f aca="false">F40-G40-H40</f>
        <v>40097.1213788691</v>
      </c>
      <c r="J40" s="29" t="n">
        <f aca="false">Premissas!$I$15+Premissas!$I$16</f>
        <v>10000</v>
      </c>
      <c r="K40" s="29" t="n">
        <f aca="false">I40-J40</f>
        <v>30097.1213788691</v>
      </c>
      <c r="L40" s="29" t="n">
        <f aca="false">K40</f>
        <v>30097.1213788691</v>
      </c>
      <c r="M40" s="29" t="n">
        <f aca="false">M39+L40</f>
        <v>432521.052435414</v>
      </c>
      <c r="N40" s="27" t="n">
        <f aca="false">IF(M40&gt;=0,1,0)</f>
        <v>1</v>
      </c>
    </row>
    <row r="41" customFormat="false" ht="15" hidden="false" customHeight="false" outlineLevel="0" collapsed="false">
      <c r="A41" s="31" t="n">
        <f aca="false">A40+1</f>
        <v>36</v>
      </c>
      <c r="B41" s="32" t="n">
        <f aca="false">MIN(Premissas!$I$11,B40*(1-Premissas!$I$12)+IF(A41=1,Premissas!$I$9,Premissas!$I$10*Premissas!$B$26))</f>
        <v>385.124780742622</v>
      </c>
      <c r="C41" s="32" t="n">
        <f aca="false">MAX(0,B41-B40*(1-Premissas!$I$12))</f>
        <v>15</v>
      </c>
      <c r="D41" s="33" t="n">
        <f aca="false">B41*Premissas!$I$7*Premissas!$B$27</f>
        <v>57768.7171113933</v>
      </c>
      <c r="E41" s="33" t="n">
        <f aca="false">C41*Premissas!$I$8*Premissas!$B$27</f>
        <v>6000</v>
      </c>
      <c r="F41" s="33" t="n">
        <f aca="false">D41+E41</f>
        <v>63768.7171113933</v>
      </c>
      <c r="G41" s="33" t="n">
        <f aca="false">F41*Premissas!$I$14</f>
        <v>3826.1230266836</v>
      </c>
      <c r="H41" s="33" t="n">
        <f aca="false">F41*Premissas!$I$13</f>
        <v>19130.615133418</v>
      </c>
      <c r="I41" s="33" t="n">
        <f aca="false">F41-G41-H41</f>
        <v>40811.9789512917</v>
      </c>
      <c r="J41" s="33" t="n">
        <f aca="false">Premissas!$I$15+Premissas!$I$16</f>
        <v>10000</v>
      </c>
      <c r="K41" s="33" t="n">
        <f aca="false">I41-J41</f>
        <v>30811.9789512917</v>
      </c>
      <c r="L41" s="33" t="n">
        <f aca="false">K41</f>
        <v>30811.9789512917</v>
      </c>
      <c r="M41" s="33" t="n">
        <f aca="false">M40+L41</f>
        <v>463333.031386706</v>
      </c>
      <c r="N41" s="31" t="n">
        <f aca="false">IF(M41&gt;=0,1,0)</f>
        <v>1</v>
      </c>
    </row>
    <row r="43" customFormat="false" ht="15" hidden="false" customHeight="false" outlineLevel="0" collapsed="false">
      <c r="A43" s="15" t="s">
        <v>147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6" min="4" style="0" width="16"/>
    <col collapsed="false" customWidth="true" hidden="false" outlineLevel="0" max="7" min="7" style="0" width="14"/>
    <col collapsed="false" customWidth="true" hidden="false" outlineLevel="0" max="13" min="8" style="0" width="16"/>
    <col collapsed="false" customWidth="true" hidden="false" outlineLevel="0" max="14" min="14" style="0" width="12"/>
  </cols>
  <sheetData>
    <row r="1" customFormat="false" ht="17.35" hidden="false" customHeight="false" outlineLevel="0" collapsed="false">
      <c r="A1" s="1" t="s">
        <v>155</v>
      </c>
    </row>
    <row r="2" customFormat="false" ht="15" hidden="false" customHeight="false" outlineLevel="0" collapsed="false">
      <c r="A2" s="0" t="s">
        <v>33</v>
      </c>
      <c r="B2" s="5" t="str">
        <f aca="false">Premissas!$B$19</f>
        <v>Base</v>
      </c>
    </row>
    <row r="4" customFormat="false" ht="45" hidden="false" customHeight="true" outlineLevel="0" collapsed="false">
      <c r="A4" s="6" t="s">
        <v>133</v>
      </c>
      <c r="B4" s="6" t="s">
        <v>134</v>
      </c>
      <c r="C4" s="6" t="s">
        <v>135</v>
      </c>
      <c r="D4" s="6" t="s">
        <v>136</v>
      </c>
      <c r="E4" s="6" t="s">
        <v>137</v>
      </c>
      <c r="F4" s="6" t="s">
        <v>138</v>
      </c>
      <c r="G4" s="6" t="s">
        <v>139</v>
      </c>
      <c r="H4" s="6" t="s">
        <v>140</v>
      </c>
      <c r="I4" s="6" t="s">
        <v>141</v>
      </c>
      <c r="J4" s="6" t="s">
        <v>142</v>
      </c>
      <c r="K4" s="6" t="s">
        <v>143</v>
      </c>
      <c r="L4" s="6" t="s">
        <v>144</v>
      </c>
      <c r="M4" s="6" t="s">
        <v>145</v>
      </c>
      <c r="N4" s="6" t="s">
        <v>146</v>
      </c>
    </row>
    <row r="5" customFormat="false" ht="15" hidden="false" customHeight="false" outlineLevel="0" collapsed="false">
      <c r="A5" s="27" t="n">
        <v>0</v>
      </c>
      <c r="B5" s="28" t="n">
        <v>0</v>
      </c>
      <c r="C5" s="28" t="n">
        <v>0</v>
      </c>
      <c r="D5" s="29" t="n">
        <v>0</v>
      </c>
      <c r="E5" s="29" t="n">
        <v>0</v>
      </c>
      <c r="F5" s="29" t="n">
        <v>0</v>
      </c>
      <c r="G5" s="29" t="n">
        <v>0</v>
      </c>
      <c r="H5" s="29" t="n">
        <v>0</v>
      </c>
      <c r="I5" s="29" t="n">
        <v>0</v>
      </c>
      <c r="J5" s="29" t="n">
        <v>0</v>
      </c>
      <c r="K5" s="29" t="n">
        <v>0</v>
      </c>
      <c r="L5" s="30" t="n">
        <f aca="false">-Premissas!$J$6</f>
        <v>-20000</v>
      </c>
      <c r="M5" s="29" t="n">
        <f aca="false">L5</f>
        <v>-20000</v>
      </c>
      <c r="N5" s="27" t="n">
        <f aca="false">IF(M5&gt;=0,1,0)</f>
        <v>0</v>
      </c>
    </row>
    <row r="6" customFormat="false" ht="15" hidden="false" customHeight="false" outlineLevel="0" collapsed="false">
      <c r="A6" s="27" t="n">
        <f aca="false">A5+1</f>
        <v>1</v>
      </c>
      <c r="B6" s="28" t="n">
        <f aca="false">MIN(Premissas!$J$11,B5*(1-Premissas!$J$12)+IF(A6=1,Premissas!$J$9,Premissas!$J$10*Premissas!$B$26))</f>
        <v>1</v>
      </c>
      <c r="C6" s="28" t="n">
        <f aca="false">MAX(0,B6-B5*(1-Premissas!$J$12))</f>
        <v>1</v>
      </c>
      <c r="D6" s="29" t="n">
        <f aca="false">B6*Premissas!$J$7*Premissas!$B$27</f>
        <v>3500</v>
      </c>
      <c r="E6" s="29" t="n">
        <f aca="false">C6*Premissas!$J$8*Premissas!$B$27</f>
        <v>0</v>
      </c>
      <c r="F6" s="29" t="n">
        <f aca="false">D6+E6</f>
        <v>3500</v>
      </c>
      <c r="G6" s="29" t="n">
        <f aca="false">F6*Premissas!$J$14</f>
        <v>210</v>
      </c>
      <c r="H6" s="29" t="n">
        <f aca="false">F6*Premissas!$J$13</f>
        <v>350</v>
      </c>
      <c r="I6" s="29" t="n">
        <f aca="false">F6-G6-H6</f>
        <v>2940</v>
      </c>
      <c r="J6" s="29" t="n">
        <f aca="false">Premissas!$J$15+Premissas!$J$16</f>
        <v>6500</v>
      </c>
      <c r="K6" s="29" t="n">
        <f aca="false">I6-J6</f>
        <v>-3560</v>
      </c>
      <c r="L6" s="29" t="n">
        <f aca="false">K6</f>
        <v>-3560</v>
      </c>
      <c r="M6" s="29" t="n">
        <f aca="false">M5+L6</f>
        <v>-23560</v>
      </c>
      <c r="N6" s="27" t="n">
        <f aca="false">IF(M6&gt;=0,1,0)</f>
        <v>0</v>
      </c>
    </row>
    <row r="7" customFormat="false" ht="15" hidden="false" customHeight="false" outlineLevel="0" collapsed="false">
      <c r="A7" s="27" t="n">
        <f aca="false">A6+1</f>
        <v>2</v>
      </c>
      <c r="B7" s="28" t="n">
        <f aca="false">MIN(Premissas!$J$11,B6*(1-Premissas!$J$12)+IF(A7=1,Premissas!$J$9,Premissas!$J$10*Premissas!$B$26))</f>
        <v>1.485</v>
      </c>
      <c r="C7" s="28" t="n">
        <f aca="false">MAX(0,B7-B6*(1-Premissas!$J$12))</f>
        <v>0.5</v>
      </c>
      <c r="D7" s="29" t="n">
        <f aca="false">B7*Premissas!$J$7*Premissas!$B$27</f>
        <v>5197.5</v>
      </c>
      <c r="E7" s="29" t="n">
        <f aca="false">C7*Premissas!$J$8*Premissas!$B$27</f>
        <v>0</v>
      </c>
      <c r="F7" s="29" t="n">
        <f aca="false">D7+E7</f>
        <v>5197.5</v>
      </c>
      <c r="G7" s="29" t="n">
        <f aca="false">F7*Premissas!$J$14</f>
        <v>311.85</v>
      </c>
      <c r="H7" s="29" t="n">
        <f aca="false">F7*Premissas!$J$13</f>
        <v>519.75</v>
      </c>
      <c r="I7" s="29" t="n">
        <f aca="false">F7-G7-H7</f>
        <v>4365.9</v>
      </c>
      <c r="J7" s="29" t="n">
        <f aca="false">Premissas!$J$15+Premissas!$J$16</f>
        <v>6500</v>
      </c>
      <c r="K7" s="29" t="n">
        <f aca="false">I7-J7</f>
        <v>-2134.1</v>
      </c>
      <c r="L7" s="29" t="n">
        <f aca="false">K7</f>
        <v>-2134.1</v>
      </c>
      <c r="M7" s="29" t="n">
        <f aca="false">M6+L7</f>
        <v>-25694.1</v>
      </c>
      <c r="N7" s="27" t="n">
        <f aca="false">IF(M7&gt;=0,1,0)</f>
        <v>0</v>
      </c>
    </row>
    <row r="8" customFormat="false" ht="15" hidden="false" customHeight="false" outlineLevel="0" collapsed="false">
      <c r="A8" s="27" t="n">
        <f aca="false">A7+1</f>
        <v>3</v>
      </c>
      <c r="B8" s="28" t="n">
        <f aca="false">MIN(Premissas!$J$11,B7*(1-Premissas!$J$12)+IF(A8=1,Premissas!$J$9,Premissas!$J$10*Premissas!$B$26))</f>
        <v>1.962725</v>
      </c>
      <c r="C8" s="28" t="n">
        <f aca="false">MAX(0,B8-B7*(1-Premissas!$J$12))</f>
        <v>0.5</v>
      </c>
      <c r="D8" s="29" t="n">
        <f aca="false">B8*Premissas!$J$7*Premissas!$B$27</f>
        <v>6869.5375</v>
      </c>
      <c r="E8" s="29" t="n">
        <f aca="false">C8*Premissas!$J$8*Premissas!$B$27</f>
        <v>0</v>
      </c>
      <c r="F8" s="29" t="n">
        <f aca="false">D8+E8</f>
        <v>6869.5375</v>
      </c>
      <c r="G8" s="29" t="n">
        <f aca="false">F8*Premissas!$J$14</f>
        <v>412.17225</v>
      </c>
      <c r="H8" s="29" t="n">
        <f aca="false">F8*Premissas!$J$13</f>
        <v>686.95375</v>
      </c>
      <c r="I8" s="29" t="n">
        <f aca="false">F8-G8-H8</f>
        <v>5770.4115</v>
      </c>
      <c r="J8" s="29" t="n">
        <f aca="false">Premissas!$J$15+Premissas!$J$16</f>
        <v>6500</v>
      </c>
      <c r="K8" s="29" t="n">
        <f aca="false">I8-J8</f>
        <v>-729.5885</v>
      </c>
      <c r="L8" s="29" t="n">
        <f aca="false">K8</f>
        <v>-729.5885</v>
      </c>
      <c r="M8" s="29" t="n">
        <f aca="false">M7+L8</f>
        <v>-26423.6885</v>
      </c>
      <c r="N8" s="27" t="n">
        <f aca="false">IF(M8&gt;=0,1,0)</f>
        <v>0</v>
      </c>
    </row>
    <row r="9" customFormat="false" ht="15" hidden="false" customHeight="false" outlineLevel="0" collapsed="false">
      <c r="A9" s="27" t="n">
        <f aca="false">A8+1</f>
        <v>4</v>
      </c>
      <c r="B9" s="28" t="n">
        <f aca="false">MIN(Premissas!$J$11,B8*(1-Premissas!$J$12)+IF(A9=1,Premissas!$J$9,Premissas!$J$10*Premissas!$B$26))</f>
        <v>2.433284125</v>
      </c>
      <c r="C9" s="28" t="n">
        <f aca="false">MAX(0,B9-B8*(1-Premissas!$J$12))</f>
        <v>0.5</v>
      </c>
      <c r="D9" s="29" t="n">
        <f aca="false">B9*Premissas!$J$7*Premissas!$B$27</f>
        <v>8516.4944375</v>
      </c>
      <c r="E9" s="29" t="n">
        <f aca="false">C9*Premissas!$J$8*Premissas!$B$27</f>
        <v>0</v>
      </c>
      <c r="F9" s="29" t="n">
        <f aca="false">D9+E9</f>
        <v>8516.4944375</v>
      </c>
      <c r="G9" s="29" t="n">
        <f aca="false">F9*Premissas!$J$14</f>
        <v>510.98966625</v>
      </c>
      <c r="H9" s="29" t="n">
        <f aca="false">F9*Premissas!$J$13</f>
        <v>851.64944375</v>
      </c>
      <c r="I9" s="29" t="n">
        <f aca="false">F9-G9-H9</f>
        <v>7153.8553275</v>
      </c>
      <c r="J9" s="29" t="n">
        <f aca="false">Premissas!$J$15+Premissas!$J$16</f>
        <v>6500</v>
      </c>
      <c r="K9" s="29" t="n">
        <f aca="false">I9-J9</f>
        <v>653.8553275</v>
      </c>
      <c r="L9" s="29" t="n">
        <f aca="false">K9</f>
        <v>653.8553275</v>
      </c>
      <c r="M9" s="29" t="n">
        <f aca="false">M8+L9</f>
        <v>-25769.8331725</v>
      </c>
      <c r="N9" s="27" t="n">
        <f aca="false">IF(M9&gt;=0,1,0)</f>
        <v>0</v>
      </c>
    </row>
    <row r="10" customFormat="false" ht="15" hidden="false" customHeight="false" outlineLevel="0" collapsed="false">
      <c r="A10" s="27" t="n">
        <f aca="false">A9+1</f>
        <v>5</v>
      </c>
      <c r="B10" s="28" t="n">
        <f aca="false">MIN(Premissas!$J$11,B9*(1-Premissas!$J$12)+IF(A10=1,Premissas!$J$9,Premissas!$J$10*Premissas!$B$26))</f>
        <v>2.896784863125</v>
      </c>
      <c r="C10" s="28" t="n">
        <f aca="false">MAX(0,B10-B9*(1-Premissas!$J$12))</f>
        <v>0.5</v>
      </c>
      <c r="D10" s="29" t="n">
        <f aca="false">B10*Premissas!$J$7*Premissas!$B$27</f>
        <v>10138.7470209375</v>
      </c>
      <c r="E10" s="29" t="n">
        <f aca="false">C10*Premissas!$J$8*Premissas!$B$27</f>
        <v>0</v>
      </c>
      <c r="F10" s="29" t="n">
        <f aca="false">D10+E10</f>
        <v>10138.7470209375</v>
      </c>
      <c r="G10" s="29" t="n">
        <f aca="false">F10*Premissas!$J$14</f>
        <v>608.32482125625</v>
      </c>
      <c r="H10" s="29" t="n">
        <f aca="false">F10*Premissas!$J$13</f>
        <v>1013.87470209375</v>
      </c>
      <c r="I10" s="29" t="n">
        <f aca="false">F10-G10-H10</f>
        <v>8516.5474975875</v>
      </c>
      <c r="J10" s="29" t="n">
        <f aca="false">Premissas!$J$15+Premissas!$J$16</f>
        <v>6500</v>
      </c>
      <c r="K10" s="29" t="n">
        <f aca="false">I10-J10</f>
        <v>2016.5474975875</v>
      </c>
      <c r="L10" s="29" t="n">
        <f aca="false">K10</f>
        <v>2016.5474975875</v>
      </c>
      <c r="M10" s="29" t="n">
        <f aca="false">M9+L10</f>
        <v>-23753.2856749125</v>
      </c>
      <c r="N10" s="27" t="n">
        <f aca="false">IF(M10&gt;=0,1,0)</f>
        <v>0</v>
      </c>
    </row>
    <row r="11" customFormat="false" ht="15" hidden="false" customHeight="false" outlineLevel="0" collapsed="false">
      <c r="A11" s="27" t="n">
        <f aca="false">A10+1</f>
        <v>6</v>
      </c>
      <c r="B11" s="28" t="n">
        <f aca="false">MIN(Premissas!$J$11,B10*(1-Premissas!$J$12)+IF(A11=1,Premissas!$J$9,Premissas!$J$10*Premissas!$B$26))</f>
        <v>3.35333309017813</v>
      </c>
      <c r="C11" s="28" t="n">
        <f aca="false">MAX(0,B11-B10*(1-Premissas!$J$12))</f>
        <v>0.5</v>
      </c>
      <c r="D11" s="29" t="n">
        <f aca="false">B11*Premissas!$J$7*Premissas!$B$27</f>
        <v>11736.6658156234</v>
      </c>
      <c r="E11" s="29" t="n">
        <f aca="false">C11*Premissas!$J$8*Premissas!$B$27</f>
        <v>0</v>
      </c>
      <c r="F11" s="29" t="n">
        <f aca="false">D11+E11</f>
        <v>11736.6658156234</v>
      </c>
      <c r="G11" s="29" t="n">
        <f aca="false">F11*Premissas!$J$14</f>
        <v>704.199948937406</v>
      </c>
      <c r="H11" s="29" t="n">
        <f aca="false">F11*Premissas!$J$13</f>
        <v>1173.66658156234</v>
      </c>
      <c r="I11" s="29" t="n">
        <f aca="false">F11-G11-H11</f>
        <v>9858.79928512369</v>
      </c>
      <c r="J11" s="29" t="n">
        <f aca="false">Premissas!$J$15+Premissas!$J$16</f>
        <v>6500</v>
      </c>
      <c r="K11" s="29" t="n">
        <f aca="false">I11-J11</f>
        <v>3358.79928512369</v>
      </c>
      <c r="L11" s="29" t="n">
        <f aca="false">K11</f>
        <v>3358.79928512369</v>
      </c>
      <c r="M11" s="29" t="n">
        <f aca="false">M10+L11</f>
        <v>-20394.4863897888</v>
      </c>
      <c r="N11" s="27" t="n">
        <f aca="false">IF(M11&gt;=0,1,0)</f>
        <v>0</v>
      </c>
    </row>
    <row r="12" customFormat="false" ht="15" hidden="false" customHeight="false" outlineLevel="0" collapsed="false">
      <c r="A12" s="27" t="n">
        <f aca="false">A11+1</f>
        <v>7</v>
      </c>
      <c r="B12" s="28" t="n">
        <f aca="false">MIN(Premissas!$J$11,B11*(1-Premissas!$J$12)+IF(A12=1,Premissas!$J$9,Premissas!$J$10*Premissas!$B$26))</f>
        <v>3.80303309382545</v>
      </c>
      <c r="C12" s="28" t="n">
        <f aca="false">MAX(0,B12-B11*(1-Premissas!$J$12))</f>
        <v>0.5</v>
      </c>
      <c r="D12" s="29" t="n">
        <f aca="false">B12*Premissas!$J$7*Premissas!$B$27</f>
        <v>13310.6158283891</v>
      </c>
      <c r="E12" s="29" t="n">
        <f aca="false">C12*Premissas!$J$8*Premissas!$B$27</f>
        <v>0</v>
      </c>
      <c r="F12" s="29" t="n">
        <f aca="false">D12+E12</f>
        <v>13310.6158283891</v>
      </c>
      <c r="G12" s="29" t="n">
        <f aca="false">F12*Premissas!$J$14</f>
        <v>798.636949703345</v>
      </c>
      <c r="H12" s="29" t="n">
        <f aca="false">F12*Premissas!$J$13</f>
        <v>1331.06158283891</v>
      </c>
      <c r="I12" s="29" t="n">
        <f aca="false">F12-G12-H12</f>
        <v>11180.9172958468</v>
      </c>
      <c r="J12" s="29" t="n">
        <f aca="false">Premissas!$J$15+Premissas!$J$16</f>
        <v>6500</v>
      </c>
      <c r="K12" s="29" t="n">
        <f aca="false">I12-J12</f>
        <v>4680.91729584683</v>
      </c>
      <c r="L12" s="29" t="n">
        <f aca="false">K12</f>
        <v>4680.91729584683</v>
      </c>
      <c r="M12" s="29" t="n">
        <f aca="false">M11+L12</f>
        <v>-15713.569093942</v>
      </c>
      <c r="N12" s="27" t="n">
        <f aca="false">IF(M12&gt;=0,1,0)</f>
        <v>0</v>
      </c>
    </row>
    <row r="13" customFormat="false" ht="15" hidden="false" customHeight="false" outlineLevel="0" collapsed="false">
      <c r="A13" s="27" t="n">
        <f aca="false">A12+1</f>
        <v>8</v>
      </c>
      <c r="B13" s="28" t="n">
        <f aca="false">MIN(Premissas!$J$11,B12*(1-Premissas!$J$12)+IF(A13=1,Premissas!$J$9,Premissas!$J$10*Premissas!$B$26))</f>
        <v>4.24598759741807</v>
      </c>
      <c r="C13" s="28" t="n">
        <f aca="false">MAX(0,B13-B12*(1-Premissas!$J$12))</f>
        <v>0.5</v>
      </c>
      <c r="D13" s="29" t="n">
        <f aca="false">B13*Premissas!$J$7*Premissas!$B$27</f>
        <v>14860.9565909633</v>
      </c>
      <c r="E13" s="29" t="n">
        <f aca="false">C13*Premissas!$J$8*Premissas!$B$27</f>
        <v>0</v>
      </c>
      <c r="F13" s="29" t="n">
        <f aca="false">D13+E13</f>
        <v>14860.9565909633</v>
      </c>
      <c r="G13" s="29" t="n">
        <f aca="false">F13*Premissas!$J$14</f>
        <v>891.657395457795</v>
      </c>
      <c r="H13" s="29" t="n">
        <f aca="false">F13*Premissas!$J$13</f>
        <v>1486.09565909633</v>
      </c>
      <c r="I13" s="29" t="n">
        <f aca="false">F13-G13-H13</f>
        <v>12483.2035364091</v>
      </c>
      <c r="J13" s="29" t="n">
        <f aca="false">Premissas!$J$15+Premissas!$J$16</f>
        <v>6500</v>
      </c>
      <c r="K13" s="29" t="n">
        <f aca="false">I13-J13</f>
        <v>5983.20353640913</v>
      </c>
      <c r="L13" s="29" t="n">
        <f aca="false">K13</f>
        <v>5983.20353640913</v>
      </c>
      <c r="M13" s="29" t="n">
        <f aca="false">M12+L13</f>
        <v>-9730.36555753284</v>
      </c>
      <c r="N13" s="27" t="n">
        <f aca="false">IF(M13&gt;=0,1,0)</f>
        <v>0</v>
      </c>
    </row>
    <row r="14" customFormat="false" ht="15" hidden="false" customHeight="false" outlineLevel="0" collapsed="false">
      <c r="A14" s="27" t="n">
        <f aca="false">A13+1</f>
        <v>9</v>
      </c>
      <c r="B14" s="28" t="n">
        <f aca="false">MIN(Premissas!$J$11,B13*(1-Premissas!$J$12)+IF(A14=1,Premissas!$J$9,Premissas!$J$10*Premissas!$B$26))</f>
        <v>4.6822977834568</v>
      </c>
      <c r="C14" s="28" t="n">
        <f aca="false">MAX(0,B14-B13*(1-Premissas!$J$12))</f>
        <v>0.5</v>
      </c>
      <c r="D14" s="29" t="n">
        <f aca="false">B14*Premissas!$J$7*Premissas!$B$27</f>
        <v>16388.0422420988</v>
      </c>
      <c r="E14" s="29" t="n">
        <f aca="false">C14*Premissas!$J$8*Premissas!$B$27</f>
        <v>0</v>
      </c>
      <c r="F14" s="29" t="n">
        <f aca="false">D14+E14</f>
        <v>16388.0422420988</v>
      </c>
      <c r="G14" s="29" t="n">
        <f aca="false">F14*Premissas!$J$14</f>
        <v>983.282534525928</v>
      </c>
      <c r="H14" s="29" t="n">
        <f aca="false">F14*Premissas!$J$13</f>
        <v>1638.80422420988</v>
      </c>
      <c r="I14" s="29" t="n">
        <f aca="false">F14-G14-H14</f>
        <v>13765.955483363</v>
      </c>
      <c r="J14" s="29" t="n">
        <f aca="false">Premissas!$J$15+Premissas!$J$16</f>
        <v>6500</v>
      </c>
      <c r="K14" s="29" t="n">
        <f aca="false">I14-J14</f>
        <v>7265.955483363</v>
      </c>
      <c r="L14" s="29" t="n">
        <f aca="false">K14</f>
        <v>7265.955483363</v>
      </c>
      <c r="M14" s="29" t="n">
        <f aca="false">M13+L14</f>
        <v>-2464.41007416985</v>
      </c>
      <c r="N14" s="27" t="n">
        <f aca="false">IF(M14&gt;=0,1,0)</f>
        <v>0</v>
      </c>
    </row>
    <row r="15" customFormat="false" ht="15" hidden="false" customHeight="false" outlineLevel="0" collapsed="false">
      <c r="A15" s="27" t="n">
        <f aca="false">A14+1</f>
        <v>10</v>
      </c>
      <c r="B15" s="28" t="n">
        <f aca="false">MIN(Premissas!$J$11,B14*(1-Premissas!$J$12)+IF(A15=1,Premissas!$J$9,Premissas!$J$10*Premissas!$B$26))</f>
        <v>5.11206331670495</v>
      </c>
      <c r="C15" s="28" t="n">
        <f aca="false">MAX(0,B15-B14*(1-Premissas!$J$12))</f>
        <v>0.5</v>
      </c>
      <c r="D15" s="29" t="n">
        <f aca="false">B15*Premissas!$J$7*Premissas!$B$27</f>
        <v>17892.2216084673</v>
      </c>
      <c r="E15" s="29" t="n">
        <f aca="false">C15*Premissas!$J$8*Premissas!$B$27</f>
        <v>0</v>
      </c>
      <c r="F15" s="29" t="n">
        <f aca="false">D15+E15</f>
        <v>17892.2216084673</v>
      </c>
      <c r="G15" s="29" t="n">
        <f aca="false">F15*Premissas!$J$14</f>
        <v>1073.53329650804</v>
      </c>
      <c r="H15" s="29" t="n">
        <f aca="false">F15*Premissas!$J$13</f>
        <v>1789.22216084673</v>
      </c>
      <c r="I15" s="29" t="n">
        <f aca="false">F15-G15-H15</f>
        <v>15029.4661511126</v>
      </c>
      <c r="J15" s="29" t="n">
        <f aca="false">Premissas!$J$15+Premissas!$J$16</f>
        <v>6500</v>
      </c>
      <c r="K15" s="29" t="n">
        <f aca="false">I15-J15</f>
        <v>8529.46615111255</v>
      </c>
      <c r="L15" s="29" t="n">
        <f aca="false">K15</f>
        <v>8529.46615111255</v>
      </c>
      <c r="M15" s="29" t="n">
        <f aca="false">M14+L15</f>
        <v>6065.05607694271</v>
      </c>
      <c r="N15" s="27" t="n">
        <f aca="false">IF(M15&gt;=0,1,0)</f>
        <v>1</v>
      </c>
    </row>
    <row r="16" customFormat="false" ht="15" hidden="false" customHeight="false" outlineLevel="0" collapsed="false">
      <c r="A16" s="27" t="n">
        <f aca="false">A15+1</f>
        <v>11</v>
      </c>
      <c r="B16" s="28" t="n">
        <f aca="false">MIN(Premissas!$J$11,B15*(1-Premissas!$J$12)+IF(A16=1,Premissas!$J$9,Premissas!$J$10*Premissas!$B$26))</f>
        <v>5.53538236695437</v>
      </c>
      <c r="C16" s="28" t="n">
        <f aca="false">MAX(0,B16-B15*(1-Premissas!$J$12))</f>
        <v>0.5</v>
      </c>
      <c r="D16" s="29" t="n">
        <f aca="false">B16*Premissas!$J$7*Premissas!$B$27</f>
        <v>19373.8382843403</v>
      </c>
      <c r="E16" s="29" t="n">
        <f aca="false">C16*Premissas!$J$8*Premissas!$B$27</f>
        <v>0</v>
      </c>
      <c r="F16" s="29" t="n">
        <f aca="false">D16+E16</f>
        <v>19373.8382843403</v>
      </c>
      <c r="G16" s="29" t="n">
        <f aca="false">F16*Premissas!$J$14</f>
        <v>1162.43029706042</v>
      </c>
      <c r="H16" s="29" t="n">
        <f aca="false">F16*Premissas!$J$13</f>
        <v>1937.38382843403</v>
      </c>
      <c r="I16" s="29" t="n">
        <f aca="false">F16-G16-H16</f>
        <v>16274.0241588459</v>
      </c>
      <c r="J16" s="29" t="n">
        <f aca="false">Premissas!$J$15+Premissas!$J$16</f>
        <v>6500</v>
      </c>
      <c r="K16" s="29" t="n">
        <f aca="false">I16-J16</f>
        <v>9774.02415884586</v>
      </c>
      <c r="L16" s="29" t="n">
        <f aca="false">K16</f>
        <v>9774.02415884586</v>
      </c>
      <c r="M16" s="29" t="n">
        <f aca="false">M15+L16</f>
        <v>15839.0802357886</v>
      </c>
      <c r="N16" s="27" t="n">
        <f aca="false">IF(M16&gt;=0,1,0)</f>
        <v>1</v>
      </c>
    </row>
    <row r="17" customFormat="false" ht="15" hidden="false" customHeight="false" outlineLevel="0" collapsed="false">
      <c r="A17" s="31" t="n">
        <f aca="false">A16+1</f>
        <v>12</v>
      </c>
      <c r="B17" s="32" t="n">
        <f aca="false">MIN(Premissas!$J$11,B16*(1-Premissas!$J$12)+IF(A17=1,Premissas!$J$9,Premissas!$J$10*Premissas!$B$26))</f>
        <v>5.95235163145006</v>
      </c>
      <c r="C17" s="32" t="n">
        <f aca="false">MAX(0,B17-B16*(1-Premissas!$J$12))</f>
        <v>0.5</v>
      </c>
      <c r="D17" s="33" t="n">
        <f aca="false">B17*Premissas!$J$7*Premissas!$B$27</f>
        <v>20833.2307100752</v>
      </c>
      <c r="E17" s="33" t="n">
        <f aca="false">C17*Premissas!$J$8*Premissas!$B$27</f>
        <v>0</v>
      </c>
      <c r="F17" s="33" t="n">
        <f aca="false">D17+E17</f>
        <v>20833.2307100752</v>
      </c>
      <c r="G17" s="33" t="n">
        <f aca="false">F17*Premissas!$J$14</f>
        <v>1249.99384260451</v>
      </c>
      <c r="H17" s="33" t="n">
        <f aca="false">F17*Premissas!$J$13</f>
        <v>2083.32307100752</v>
      </c>
      <c r="I17" s="33" t="n">
        <f aca="false">F17-G17-H17</f>
        <v>17499.9137964632</v>
      </c>
      <c r="J17" s="33" t="n">
        <f aca="false">Premissas!$J$15+Premissas!$J$16</f>
        <v>6500</v>
      </c>
      <c r="K17" s="33" t="n">
        <f aca="false">I17-J17</f>
        <v>10999.9137964632</v>
      </c>
      <c r="L17" s="33" t="n">
        <f aca="false">K17</f>
        <v>10999.9137964632</v>
      </c>
      <c r="M17" s="33" t="n">
        <f aca="false">M16+L17</f>
        <v>26838.9940322517</v>
      </c>
      <c r="N17" s="31" t="n">
        <f aca="false">IF(M17&gt;=0,1,0)</f>
        <v>1</v>
      </c>
    </row>
    <row r="18" customFormat="false" ht="15" hidden="false" customHeight="false" outlineLevel="0" collapsed="false">
      <c r="A18" s="27" t="n">
        <f aca="false">A17+1</f>
        <v>13</v>
      </c>
      <c r="B18" s="28" t="n">
        <f aca="false">MIN(Premissas!$J$11,B17*(1-Premissas!$J$12)+IF(A18=1,Premissas!$J$9,Premissas!$J$10*Premissas!$B$26))</f>
        <v>6.36306635697831</v>
      </c>
      <c r="C18" s="28" t="n">
        <f aca="false">MAX(0,B18-B17*(1-Premissas!$J$12))</f>
        <v>0.5</v>
      </c>
      <c r="D18" s="29" t="n">
        <f aca="false">B18*Premissas!$J$7*Premissas!$B$27</f>
        <v>22270.7322494241</v>
      </c>
      <c r="E18" s="29" t="n">
        <f aca="false">C18*Premissas!$J$8*Premissas!$B$27</f>
        <v>0</v>
      </c>
      <c r="F18" s="29" t="n">
        <f aca="false">D18+E18</f>
        <v>22270.7322494241</v>
      </c>
      <c r="G18" s="29" t="n">
        <f aca="false">F18*Premissas!$J$14</f>
        <v>1336.24393496544</v>
      </c>
      <c r="H18" s="29" t="n">
        <f aca="false">F18*Premissas!$J$13</f>
        <v>2227.07322494241</v>
      </c>
      <c r="I18" s="29" t="n">
        <f aca="false">F18-G18-H18</f>
        <v>18707.4150895162</v>
      </c>
      <c r="J18" s="29" t="n">
        <f aca="false">Premissas!$J$15+Premissas!$J$16</f>
        <v>6500</v>
      </c>
      <c r="K18" s="29" t="n">
        <f aca="false">I18-J18</f>
        <v>12207.4150895162</v>
      </c>
      <c r="L18" s="29" t="n">
        <f aca="false">K18</f>
        <v>12207.4150895162</v>
      </c>
      <c r="M18" s="29" t="n">
        <f aca="false">M17+L18</f>
        <v>39046.409121768</v>
      </c>
      <c r="N18" s="27" t="n">
        <f aca="false">IF(M18&gt;=0,1,0)</f>
        <v>1</v>
      </c>
    </row>
    <row r="19" customFormat="false" ht="15" hidden="false" customHeight="false" outlineLevel="0" collapsed="false">
      <c r="A19" s="27" t="n">
        <f aca="false">A18+1</f>
        <v>14</v>
      </c>
      <c r="B19" s="28" t="n">
        <f aca="false">MIN(Premissas!$J$11,B18*(1-Premissas!$J$12)+IF(A19=1,Premissas!$J$9,Premissas!$J$10*Premissas!$B$26))</f>
        <v>6.76762036162363</v>
      </c>
      <c r="C19" s="28" t="n">
        <f aca="false">MAX(0,B19-B18*(1-Premissas!$J$12))</f>
        <v>0.5</v>
      </c>
      <c r="D19" s="29" t="n">
        <f aca="false">B19*Premissas!$J$7*Premissas!$B$27</f>
        <v>23686.6712656827</v>
      </c>
      <c r="E19" s="29" t="n">
        <f aca="false">C19*Premissas!$J$8*Premissas!$B$27</f>
        <v>0</v>
      </c>
      <c r="F19" s="29" t="n">
        <f aca="false">D19+E19</f>
        <v>23686.6712656827</v>
      </c>
      <c r="G19" s="29" t="n">
        <f aca="false">F19*Premissas!$J$14</f>
        <v>1421.20027594096</v>
      </c>
      <c r="H19" s="29" t="n">
        <f aca="false">F19*Premissas!$J$13</f>
        <v>2368.66712656827</v>
      </c>
      <c r="I19" s="29" t="n">
        <f aca="false">F19-G19-H19</f>
        <v>19896.8038631735</v>
      </c>
      <c r="J19" s="29" t="n">
        <f aca="false">Premissas!$J$15+Premissas!$J$16</f>
        <v>6500</v>
      </c>
      <c r="K19" s="29" t="n">
        <f aca="false">I19-J19</f>
        <v>13396.8038631735</v>
      </c>
      <c r="L19" s="29" t="n">
        <f aca="false">K19</f>
        <v>13396.8038631735</v>
      </c>
      <c r="M19" s="29" t="n">
        <f aca="false">M18+L19</f>
        <v>52443.2129849414</v>
      </c>
      <c r="N19" s="27" t="n">
        <f aca="false">IF(M19&gt;=0,1,0)</f>
        <v>1</v>
      </c>
    </row>
    <row r="20" customFormat="false" ht="15" hidden="false" customHeight="false" outlineLevel="0" collapsed="false">
      <c r="A20" s="27" t="n">
        <f aca="false">A19+1</f>
        <v>15</v>
      </c>
      <c r="B20" s="28" t="n">
        <f aca="false">MIN(Premissas!$J$11,B19*(1-Premissas!$J$12)+IF(A20=1,Premissas!$J$9,Premissas!$J$10*Premissas!$B$26))</f>
        <v>7.16610605619928</v>
      </c>
      <c r="C20" s="28" t="n">
        <f aca="false">MAX(0,B20-B19*(1-Premissas!$J$12))</f>
        <v>0.5</v>
      </c>
      <c r="D20" s="29" t="n">
        <f aca="false">B20*Premissas!$J$7*Premissas!$B$27</f>
        <v>25081.3711966975</v>
      </c>
      <c r="E20" s="29" t="n">
        <f aca="false">C20*Premissas!$J$8*Premissas!$B$27</f>
        <v>0</v>
      </c>
      <c r="F20" s="29" t="n">
        <f aca="false">D20+E20</f>
        <v>25081.3711966975</v>
      </c>
      <c r="G20" s="29" t="n">
        <f aca="false">F20*Premissas!$J$14</f>
        <v>1504.88227180185</v>
      </c>
      <c r="H20" s="29" t="n">
        <f aca="false">F20*Premissas!$J$13</f>
        <v>2508.13711966975</v>
      </c>
      <c r="I20" s="29" t="n">
        <f aca="false">F20-G20-H20</f>
        <v>21068.3518052259</v>
      </c>
      <c r="J20" s="29" t="n">
        <f aca="false">Premissas!$J$15+Premissas!$J$16</f>
        <v>6500</v>
      </c>
      <c r="K20" s="29" t="n">
        <f aca="false">I20-J20</f>
        <v>14568.3518052259</v>
      </c>
      <c r="L20" s="29" t="n">
        <f aca="false">K20</f>
        <v>14568.3518052259</v>
      </c>
      <c r="M20" s="29" t="n">
        <f aca="false">M19+L20</f>
        <v>67011.5647901673</v>
      </c>
      <c r="N20" s="27" t="n">
        <f aca="false">IF(M20&gt;=0,1,0)</f>
        <v>1</v>
      </c>
    </row>
    <row r="21" customFormat="false" ht="15" hidden="false" customHeight="false" outlineLevel="0" collapsed="false">
      <c r="A21" s="27" t="n">
        <f aca="false">A20+1</f>
        <v>16</v>
      </c>
      <c r="B21" s="28" t="n">
        <f aca="false">MIN(Premissas!$J$11,B20*(1-Premissas!$J$12)+IF(A21=1,Premissas!$J$9,Premissas!$J$10*Premissas!$B$26))</f>
        <v>7.55861446535629</v>
      </c>
      <c r="C21" s="28" t="n">
        <f aca="false">MAX(0,B21-B20*(1-Premissas!$J$12))</f>
        <v>0.5</v>
      </c>
      <c r="D21" s="29" t="n">
        <f aca="false">B21*Premissas!$J$7*Premissas!$B$27</f>
        <v>26455.150628747</v>
      </c>
      <c r="E21" s="29" t="n">
        <f aca="false">C21*Premissas!$J$8*Premissas!$B$27</f>
        <v>0</v>
      </c>
      <c r="F21" s="29" t="n">
        <f aca="false">D21+E21</f>
        <v>26455.150628747</v>
      </c>
      <c r="G21" s="29" t="n">
        <f aca="false">F21*Premissas!$J$14</f>
        <v>1587.30903772482</v>
      </c>
      <c r="H21" s="29" t="n">
        <f aca="false">F21*Premissas!$J$13</f>
        <v>2645.5150628747</v>
      </c>
      <c r="I21" s="29" t="n">
        <f aca="false">F21-G21-H21</f>
        <v>22222.3265281475</v>
      </c>
      <c r="J21" s="29" t="n">
        <f aca="false">Premissas!$J$15+Premissas!$J$16</f>
        <v>6500</v>
      </c>
      <c r="K21" s="29" t="n">
        <f aca="false">I21-J21</f>
        <v>15722.3265281475</v>
      </c>
      <c r="L21" s="29" t="n">
        <f aca="false">K21</f>
        <v>15722.3265281475</v>
      </c>
      <c r="M21" s="29" t="n">
        <f aca="false">M20+L21</f>
        <v>82733.8913183148</v>
      </c>
      <c r="N21" s="27" t="n">
        <f aca="false">IF(M21&gt;=0,1,0)</f>
        <v>1</v>
      </c>
    </row>
    <row r="22" customFormat="false" ht="15" hidden="false" customHeight="false" outlineLevel="0" collapsed="false">
      <c r="A22" s="27" t="n">
        <f aca="false">A21+1</f>
        <v>17</v>
      </c>
      <c r="B22" s="28" t="n">
        <f aca="false">MIN(Premissas!$J$11,B21*(1-Premissas!$J$12)+IF(A22=1,Premissas!$J$9,Premissas!$J$10*Premissas!$B$26))</f>
        <v>7.94523524837594</v>
      </c>
      <c r="C22" s="28" t="n">
        <f aca="false">MAX(0,B22-B21*(1-Premissas!$J$12))</f>
        <v>0.5</v>
      </c>
      <c r="D22" s="29" t="n">
        <f aca="false">B22*Premissas!$J$7*Premissas!$B$27</f>
        <v>27808.3233693158</v>
      </c>
      <c r="E22" s="29" t="n">
        <f aca="false">C22*Premissas!$J$8*Premissas!$B$27</f>
        <v>0</v>
      </c>
      <c r="F22" s="29" t="n">
        <f aca="false">D22+E22</f>
        <v>27808.3233693158</v>
      </c>
      <c r="G22" s="29" t="n">
        <f aca="false">F22*Premissas!$J$14</f>
        <v>1668.49940215895</v>
      </c>
      <c r="H22" s="29" t="n">
        <f aca="false">F22*Premissas!$J$13</f>
        <v>2780.83233693158</v>
      </c>
      <c r="I22" s="29" t="n">
        <f aca="false">F22-G22-H22</f>
        <v>23358.9916302253</v>
      </c>
      <c r="J22" s="29" t="n">
        <f aca="false">Premissas!$J$15+Premissas!$J$16</f>
        <v>6500</v>
      </c>
      <c r="K22" s="29" t="n">
        <f aca="false">I22-J22</f>
        <v>16858.9916302253</v>
      </c>
      <c r="L22" s="29" t="n">
        <f aca="false">K22</f>
        <v>16858.9916302253</v>
      </c>
      <c r="M22" s="29" t="n">
        <f aca="false">M21+L22</f>
        <v>99592.8829485401</v>
      </c>
      <c r="N22" s="27" t="n">
        <f aca="false">IF(M22&gt;=0,1,0)</f>
        <v>1</v>
      </c>
    </row>
    <row r="23" customFormat="false" ht="15" hidden="false" customHeight="false" outlineLevel="0" collapsed="false">
      <c r="A23" s="27" t="n">
        <f aca="false">A22+1</f>
        <v>18</v>
      </c>
      <c r="B23" s="28" t="n">
        <f aca="false">MIN(Premissas!$J$11,B22*(1-Premissas!$J$12)+IF(A23=1,Premissas!$J$9,Premissas!$J$10*Premissas!$B$26))</f>
        <v>8.32605671965031</v>
      </c>
      <c r="C23" s="28" t="n">
        <f aca="false">MAX(0,B23-B22*(1-Premissas!$J$12))</f>
        <v>0.5</v>
      </c>
      <c r="D23" s="29" t="n">
        <f aca="false">B23*Premissas!$J$7*Premissas!$B$27</f>
        <v>29141.1985187761</v>
      </c>
      <c r="E23" s="29" t="n">
        <f aca="false">C23*Premissas!$J$8*Premissas!$B$27</f>
        <v>0</v>
      </c>
      <c r="F23" s="29" t="n">
        <f aca="false">D23+E23</f>
        <v>29141.1985187761</v>
      </c>
      <c r="G23" s="29" t="n">
        <f aca="false">F23*Premissas!$J$14</f>
        <v>1748.47191112656</v>
      </c>
      <c r="H23" s="29" t="n">
        <f aca="false">F23*Premissas!$J$13</f>
        <v>2914.11985187761</v>
      </c>
      <c r="I23" s="29" t="n">
        <f aca="false">F23-G23-H23</f>
        <v>24478.6067557719</v>
      </c>
      <c r="J23" s="29" t="n">
        <f aca="false">Premissas!$J$15+Premissas!$J$16</f>
        <v>6500</v>
      </c>
      <c r="K23" s="29" t="n">
        <f aca="false">I23-J23</f>
        <v>17978.6067557719</v>
      </c>
      <c r="L23" s="29" t="n">
        <f aca="false">K23</f>
        <v>17978.6067557719</v>
      </c>
      <c r="M23" s="29" t="n">
        <f aca="false">M22+L23</f>
        <v>117571.489704312</v>
      </c>
      <c r="N23" s="27" t="n">
        <f aca="false">IF(M23&gt;=0,1,0)</f>
        <v>1</v>
      </c>
    </row>
    <row r="24" customFormat="false" ht="15" hidden="false" customHeight="false" outlineLevel="0" collapsed="false">
      <c r="A24" s="27" t="n">
        <f aca="false">A23+1</f>
        <v>19</v>
      </c>
      <c r="B24" s="28" t="n">
        <f aca="false">MIN(Premissas!$J$11,B23*(1-Premissas!$J$12)+IF(A24=1,Premissas!$J$9,Premissas!$J$10*Premissas!$B$26))</f>
        <v>8.70116586885555</v>
      </c>
      <c r="C24" s="28" t="n">
        <f aca="false">MAX(0,B24-B23*(1-Premissas!$J$12))</f>
        <v>0.5</v>
      </c>
      <c r="D24" s="29" t="n">
        <f aca="false">B24*Premissas!$J$7*Premissas!$B$27</f>
        <v>30454.0805409944</v>
      </c>
      <c r="E24" s="29" t="n">
        <f aca="false">C24*Premissas!$J$8*Premissas!$B$27</f>
        <v>0</v>
      </c>
      <c r="F24" s="29" t="n">
        <f aca="false">D24+E24</f>
        <v>30454.0805409944</v>
      </c>
      <c r="G24" s="29" t="n">
        <f aca="false">F24*Premissas!$J$14</f>
        <v>1827.24483245967</v>
      </c>
      <c r="H24" s="29" t="n">
        <f aca="false">F24*Premissas!$J$13</f>
        <v>3045.40805409944</v>
      </c>
      <c r="I24" s="29" t="n">
        <f aca="false">F24-G24-H24</f>
        <v>25581.4276544353</v>
      </c>
      <c r="J24" s="29" t="n">
        <f aca="false">Premissas!$J$15+Premissas!$J$16</f>
        <v>6500</v>
      </c>
      <c r="K24" s="29" t="n">
        <f aca="false">I24-J24</f>
        <v>19081.4276544353</v>
      </c>
      <c r="L24" s="29" t="n">
        <f aca="false">K24</f>
        <v>19081.4276544353</v>
      </c>
      <c r="M24" s="29" t="n">
        <f aca="false">M23+L24</f>
        <v>136652.917358747</v>
      </c>
      <c r="N24" s="27" t="n">
        <f aca="false">IF(M24&gt;=0,1,0)</f>
        <v>1</v>
      </c>
    </row>
    <row r="25" customFormat="false" ht="15" hidden="false" customHeight="false" outlineLevel="0" collapsed="false">
      <c r="A25" s="27" t="n">
        <f aca="false">A24+1</f>
        <v>20</v>
      </c>
      <c r="B25" s="28" t="n">
        <f aca="false">MIN(Premissas!$J$11,B24*(1-Premissas!$J$12)+IF(A25=1,Premissas!$J$9,Premissas!$J$10*Premissas!$B$26))</f>
        <v>9.07064838082272</v>
      </c>
      <c r="C25" s="28" t="n">
        <f aca="false">MAX(0,B25-B24*(1-Premissas!$J$12))</f>
        <v>0.5</v>
      </c>
      <c r="D25" s="29" t="n">
        <f aca="false">B25*Premissas!$J$7*Premissas!$B$27</f>
        <v>31747.2693328795</v>
      </c>
      <c r="E25" s="29" t="n">
        <f aca="false">C25*Premissas!$J$8*Premissas!$B$27</f>
        <v>0</v>
      </c>
      <c r="F25" s="29" t="n">
        <f aca="false">D25+E25</f>
        <v>31747.2693328795</v>
      </c>
      <c r="G25" s="29" t="n">
        <f aca="false">F25*Premissas!$J$14</f>
        <v>1904.83615997277</v>
      </c>
      <c r="H25" s="29" t="n">
        <f aca="false">F25*Premissas!$J$13</f>
        <v>3174.72693328795</v>
      </c>
      <c r="I25" s="29" t="n">
        <f aca="false">F25-G25-H25</f>
        <v>26667.7062396188</v>
      </c>
      <c r="J25" s="29" t="n">
        <f aca="false">Premissas!$J$15+Premissas!$J$16</f>
        <v>6500</v>
      </c>
      <c r="K25" s="29" t="n">
        <f aca="false">I25-J25</f>
        <v>20167.7062396188</v>
      </c>
      <c r="L25" s="29" t="n">
        <f aca="false">K25</f>
        <v>20167.7062396188</v>
      </c>
      <c r="M25" s="29" t="n">
        <f aca="false">M24+L25</f>
        <v>156820.623598366</v>
      </c>
      <c r="N25" s="27" t="n">
        <f aca="false">IF(M25&gt;=0,1,0)</f>
        <v>1</v>
      </c>
    </row>
    <row r="26" customFormat="false" ht="15" hidden="false" customHeight="false" outlineLevel="0" collapsed="false">
      <c r="A26" s="27" t="n">
        <f aca="false">A25+1</f>
        <v>21</v>
      </c>
      <c r="B26" s="28" t="n">
        <f aca="false">MIN(Premissas!$J$11,B25*(1-Premissas!$J$12)+IF(A26=1,Premissas!$J$9,Premissas!$J$10*Premissas!$B$26))</f>
        <v>9.43458865511038</v>
      </c>
      <c r="C26" s="28" t="n">
        <f aca="false">MAX(0,B26-B25*(1-Premissas!$J$12))</f>
        <v>0.5</v>
      </c>
      <c r="D26" s="29" t="n">
        <f aca="false">B26*Premissas!$J$7*Premissas!$B$27</f>
        <v>33021.0602928863</v>
      </c>
      <c r="E26" s="29" t="n">
        <f aca="false">C26*Premissas!$J$8*Premissas!$B$27</f>
        <v>0</v>
      </c>
      <c r="F26" s="29" t="n">
        <f aca="false">D26+E26</f>
        <v>33021.0602928863</v>
      </c>
      <c r="G26" s="29" t="n">
        <f aca="false">F26*Premissas!$J$14</f>
        <v>1981.26361757318</v>
      </c>
      <c r="H26" s="29" t="n">
        <f aca="false">F26*Premissas!$J$13</f>
        <v>3302.10602928863</v>
      </c>
      <c r="I26" s="29" t="n">
        <f aca="false">F26-G26-H26</f>
        <v>27737.6906460245</v>
      </c>
      <c r="J26" s="29" t="n">
        <f aca="false">Premissas!$J$15+Premissas!$J$16</f>
        <v>6500</v>
      </c>
      <c r="K26" s="29" t="n">
        <f aca="false">I26-J26</f>
        <v>21237.6906460245</v>
      </c>
      <c r="L26" s="29" t="n">
        <f aca="false">K26</f>
        <v>21237.6906460245</v>
      </c>
      <c r="M26" s="29" t="n">
        <f aca="false">M25+L26</f>
        <v>178058.314244391</v>
      </c>
      <c r="N26" s="27" t="n">
        <f aca="false">IF(M26&gt;=0,1,0)</f>
        <v>1</v>
      </c>
    </row>
    <row r="27" customFormat="false" ht="15" hidden="false" customHeight="false" outlineLevel="0" collapsed="false">
      <c r="A27" s="27" t="n">
        <f aca="false">A26+1</f>
        <v>22</v>
      </c>
      <c r="B27" s="28" t="n">
        <f aca="false">MIN(Premissas!$J$11,B26*(1-Premissas!$J$12)+IF(A27=1,Premissas!$J$9,Premissas!$J$10*Premissas!$B$26))</f>
        <v>9.79306982528372</v>
      </c>
      <c r="C27" s="28" t="n">
        <f aca="false">MAX(0,B27-B26*(1-Premissas!$J$12))</f>
        <v>0.5</v>
      </c>
      <c r="D27" s="29" t="n">
        <f aca="false">B27*Premissas!$J$7*Premissas!$B$27</f>
        <v>34275.744388493</v>
      </c>
      <c r="E27" s="29" t="n">
        <f aca="false">C27*Premissas!$J$8*Premissas!$B$27</f>
        <v>0</v>
      </c>
      <c r="F27" s="29" t="n">
        <f aca="false">D27+E27</f>
        <v>34275.744388493</v>
      </c>
      <c r="G27" s="29" t="n">
        <f aca="false">F27*Premissas!$J$14</f>
        <v>2056.54466330958</v>
      </c>
      <c r="H27" s="29" t="n">
        <f aca="false">F27*Premissas!$J$13</f>
        <v>3427.5744388493</v>
      </c>
      <c r="I27" s="29" t="n">
        <f aca="false">F27-G27-H27</f>
        <v>28791.6252863341</v>
      </c>
      <c r="J27" s="29" t="n">
        <f aca="false">Premissas!$J$15+Premissas!$J$16</f>
        <v>6500</v>
      </c>
      <c r="K27" s="29" t="n">
        <f aca="false">I27-J27</f>
        <v>22291.6252863341</v>
      </c>
      <c r="L27" s="29" t="n">
        <f aca="false">K27</f>
        <v>22291.6252863341</v>
      </c>
      <c r="M27" s="29" t="n">
        <f aca="false">M26+L27</f>
        <v>200349.939530725</v>
      </c>
      <c r="N27" s="27" t="n">
        <f aca="false">IF(M27&gt;=0,1,0)</f>
        <v>1</v>
      </c>
    </row>
    <row r="28" customFormat="false" ht="15" hidden="false" customHeight="false" outlineLevel="0" collapsed="false">
      <c r="A28" s="27" t="n">
        <f aca="false">A27+1</f>
        <v>23</v>
      </c>
      <c r="B28" s="28" t="n">
        <f aca="false">MIN(Premissas!$J$11,B27*(1-Premissas!$J$12)+IF(A28=1,Premissas!$J$9,Premissas!$J$10*Premissas!$B$26))</f>
        <v>10.1461737779045</v>
      </c>
      <c r="C28" s="28" t="n">
        <f aca="false">MAX(0,B28-B27*(1-Premissas!$J$12))</f>
        <v>0.5</v>
      </c>
      <c r="D28" s="29" t="n">
        <f aca="false">B28*Premissas!$J$7*Premissas!$B$27</f>
        <v>35511.6082226656</v>
      </c>
      <c r="E28" s="29" t="n">
        <f aca="false">C28*Premissas!$J$8*Premissas!$B$27</f>
        <v>0</v>
      </c>
      <c r="F28" s="29" t="n">
        <f aca="false">D28+E28</f>
        <v>35511.6082226656</v>
      </c>
      <c r="G28" s="29" t="n">
        <f aca="false">F28*Premissas!$J$14</f>
        <v>2130.69649335994</v>
      </c>
      <c r="H28" s="29" t="n">
        <f aca="false">F28*Premissas!$J$13</f>
        <v>3551.16082226656</v>
      </c>
      <c r="I28" s="29" t="n">
        <f aca="false">F28-G28-H28</f>
        <v>29829.7509070391</v>
      </c>
      <c r="J28" s="29" t="n">
        <f aca="false">Premissas!$J$15+Premissas!$J$16</f>
        <v>6500</v>
      </c>
      <c r="K28" s="29" t="n">
        <f aca="false">I28-J28</f>
        <v>23329.7509070391</v>
      </c>
      <c r="L28" s="29" t="n">
        <f aca="false">K28</f>
        <v>23329.7509070391</v>
      </c>
      <c r="M28" s="29" t="n">
        <f aca="false">M27+L28</f>
        <v>223679.690437764</v>
      </c>
      <c r="N28" s="27" t="n">
        <f aca="false">IF(M28&gt;=0,1,0)</f>
        <v>1</v>
      </c>
    </row>
    <row r="29" customFormat="false" ht="15" hidden="false" customHeight="false" outlineLevel="0" collapsed="false">
      <c r="A29" s="31" t="n">
        <f aca="false">A28+1</f>
        <v>24</v>
      </c>
      <c r="B29" s="32" t="n">
        <f aca="false">MIN(Premissas!$J$11,B28*(1-Premissas!$J$12)+IF(A29=1,Premissas!$J$9,Premissas!$J$10*Premissas!$B$26))</f>
        <v>10.4939811712359</v>
      </c>
      <c r="C29" s="32" t="n">
        <f aca="false">MAX(0,B29-B28*(1-Premissas!$J$12))</f>
        <v>0.5</v>
      </c>
      <c r="D29" s="33" t="n">
        <f aca="false">B29*Premissas!$J$7*Premissas!$B$27</f>
        <v>36728.9340993256</v>
      </c>
      <c r="E29" s="33" t="n">
        <f aca="false">C29*Premissas!$J$8*Premissas!$B$27</f>
        <v>0</v>
      </c>
      <c r="F29" s="33" t="n">
        <f aca="false">D29+E29</f>
        <v>36728.9340993256</v>
      </c>
      <c r="G29" s="33" t="n">
        <f aca="false">F29*Premissas!$J$14</f>
        <v>2203.73604595954</v>
      </c>
      <c r="H29" s="33" t="n">
        <f aca="false">F29*Premissas!$J$13</f>
        <v>3672.89340993256</v>
      </c>
      <c r="I29" s="33" t="n">
        <f aca="false">F29-G29-H29</f>
        <v>30852.3046434335</v>
      </c>
      <c r="J29" s="33" t="n">
        <f aca="false">Premissas!$J$15+Premissas!$J$16</f>
        <v>6500</v>
      </c>
      <c r="K29" s="33" t="n">
        <f aca="false">I29-J29</f>
        <v>24352.3046434335</v>
      </c>
      <c r="L29" s="33" t="n">
        <f aca="false">K29</f>
        <v>24352.3046434335</v>
      </c>
      <c r="M29" s="33" t="n">
        <f aca="false">M28+L29</f>
        <v>248031.995081197</v>
      </c>
      <c r="N29" s="31" t="n">
        <f aca="false">IF(M29&gt;=0,1,0)</f>
        <v>1</v>
      </c>
    </row>
    <row r="30" customFormat="false" ht="15" hidden="false" customHeight="false" outlineLevel="0" collapsed="false">
      <c r="A30" s="27" t="n">
        <f aca="false">A29+1</f>
        <v>25</v>
      </c>
      <c r="B30" s="28" t="n">
        <f aca="false">MIN(Premissas!$J$11,B29*(1-Premissas!$J$12)+IF(A30=1,Premissas!$J$9,Premissas!$J$10*Premissas!$B$26))</f>
        <v>10.8365714536674</v>
      </c>
      <c r="C30" s="28" t="n">
        <f aca="false">MAX(0,B30-B29*(1-Premissas!$J$12))</f>
        <v>0.5</v>
      </c>
      <c r="D30" s="29" t="n">
        <f aca="false">B30*Premissas!$J$7*Premissas!$B$27</f>
        <v>37928.0000878358</v>
      </c>
      <c r="E30" s="29" t="n">
        <f aca="false">C30*Premissas!$J$8*Premissas!$B$27</f>
        <v>0</v>
      </c>
      <c r="F30" s="29" t="n">
        <f aca="false">D30+E30</f>
        <v>37928.0000878358</v>
      </c>
      <c r="G30" s="29" t="n">
        <f aca="false">F30*Premissas!$J$14</f>
        <v>2275.68000527015</v>
      </c>
      <c r="H30" s="29" t="n">
        <f aca="false">F30*Premissas!$J$13</f>
        <v>3792.80000878358</v>
      </c>
      <c r="I30" s="29" t="n">
        <f aca="false">F30-G30-H30</f>
        <v>31859.520073782</v>
      </c>
      <c r="J30" s="29" t="n">
        <f aca="false">Premissas!$J$15+Premissas!$J$16</f>
        <v>6500</v>
      </c>
      <c r="K30" s="29" t="n">
        <f aca="false">I30-J30</f>
        <v>25359.520073782</v>
      </c>
      <c r="L30" s="29" t="n">
        <f aca="false">K30</f>
        <v>25359.520073782</v>
      </c>
      <c r="M30" s="29" t="n">
        <f aca="false">M29+L30</f>
        <v>273391.515154979</v>
      </c>
      <c r="N30" s="27" t="n">
        <f aca="false">IF(M30&gt;=0,1,0)</f>
        <v>1</v>
      </c>
    </row>
    <row r="31" customFormat="false" ht="15" hidden="false" customHeight="false" outlineLevel="0" collapsed="false">
      <c r="A31" s="27" t="n">
        <f aca="false">A30+1</f>
        <v>26</v>
      </c>
      <c r="B31" s="28" t="n">
        <f aca="false">MIN(Premissas!$J$11,B30*(1-Premissas!$J$12)+IF(A31=1,Premissas!$J$9,Premissas!$J$10*Premissas!$B$26))</f>
        <v>11.1740228818624</v>
      </c>
      <c r="C31" s="28" t="n">
        <f aca="false">MAX(0,B31-B30*(1-Premissas!$J$12))</f>
        <v>0.5</v>
      </c>
      <c r="D31" s="29" t="n">
        <f aca="false">B31*Premissas!$J$7*Premissas!$B$27</f>
        <v>39109.0800865182</v>
      </c>
      <c r="E31" s="29" t="n">
        <f aca="false">C31*Premissas!$J$8*Premissas!$B$27</f>
        <v>0</v>
      </c>
      <c r="F31" s="29" t="n">
        <f aca="false">D31+E31</f>
        <v>39109.0800865182</v>
      </c>
      <c r="G31" s="29" t="n">
        <f aca="false">F31*Premissas!$J$14</f>
        <v>2346.54480519109</v>
      </c>
      <c r="H31" s="29" t="n">
        <f aca="false">F31*Premissas!$J$13</f>
        <v>3910.90800865182</v>
      </c>
      <c r="I31" s="29" t="n">
        <f aca="false">F31-G31-H31</f>
        <v>32851.6272726753</v>
      </c>
      <c r="J31" s="29" t="n">
        <f aca="false">Premissas!$J$15+Premissas!$J$16</f>
        <v>6500</v>
      </c>
      <c r="K31" s="29" t="n">
        <f aca="false">I31-J31</f>
        <v>26351.6272726753</v>
      </c>
      <c r="L31" s="29" t="n">
        <f aca="false">K31</f>
        <v>26351.6272726753</v>
      </c>
      <c r="M31" s="29" t="n">
        <f aca="false">M30+L31</f>
        <v>299743.142427655</v>
      </c>
      <c r="N31" s="27" t="n">
        <f aca="false">IF(M31&gt;=0,1,0)</f>
        <v>1</v>
      </c>
    </row>
    <row r="32" customFormat="false" ht="15" hidden="false" customHeight="false" outlineLevel="0" collapsed="false">
      <c r="A32" s="27" t="n">
        <f aca="false">A31+1</f>
        <v>27</v>
      </c>
      <c r="B32" s="28" t="n">
        <f aca="false">MIN(Premissas!$J$11,B31*(1-Premissas!$J$12)+IF(A32=1,Premissas!$J$9,Premissas!$J$10*Premissas!$B$26))</f>
        <v>11.5064125386344</v>
      </c>
      <c r="C32" s="28" t="n">
        <f aca="false">MAX(0,B32-B31*(1-Premissas!$J$12))</f>
        <v>0.5</v>
      </c>
      <c r="D32" s="29" t="n">
        <f aca="false">B32*Premissas!$J$7*Premissas!$B$27</f>
        <v>40272.4438852205</v>
      </c>
      <c r="E32" s="29" t="n">
        <f aca="false">C32*Premissas!$J$8*Premissas!$B$27</f>
        <v>0</v>
      </c>
      <c r="F32" s="29" t="n">
        <f aca="false">D32+E32</f>
        <v>40272.4438852205</v>
      </c>
      <c r="G32" s="29" t="n">
        <f aca="false">F32*Premissas!$J$14</f>
        <v>2416.34663311323</v>
      </c>
      <c r="H32" s="29" t="n">
        <f aca="false">F32*Premissas!$J$13</f>
        <v>4027.24438852205</v>
      </c>
      <c r="I32" s="29" t="n">
        <f aca="false">F32-G32-H32</f>
        <v>33828.8528635852</v>
      </c>
      <c r="J32" s="29" t="n">
        <f aca="false">Premissas!$J$15+Premissas!$J$16</f>
        <v>6500</v>
      </c>
      <c r="K32" s="29" t="n">
        <f aca="false">I32-J32</f>
        <v>27328.8528635852</v>
      </c>
      <c r="L32" s="29" t="n">
        <f aca="false">K32</f>
        <v>27328.8528635852</v>
      </c>
      <c r="M32" s="29" t="n">
        <f aca="false">M31+L32</f>
        <v>327071.99529124</v>
      </c>
      <c r="N32" s="27" t="n">
        <f aca="false">IF(M32&gt;=0,1,0)</f>
        <v>1</v>
      </c>
    </row>
    <row r="33" customFormat="false" ht="15" hidden="false" customHeight="false" outlineLevel="0" collapsed="false">
      <c r="A33" s="27" t="n">
        <f aca="false">A32+1</f>
        <v>28</v>
      </c>
      <c r="B33" s="28" t="n">
        <f aca="false">MIN(Premissas!$J$11,B32*(1-Premissas!$J$12)+IF(A33=1,Premissas!$J$9,Premissas!$J$10*Premissas!$B$26))</f>
        <v>11.8338163505549</v>
      </c>
      <c r="C33" s="28" t="n">
        <f aca="false">MAX(0,B33-B32*(1-Premissas!$J$12))</f>
        <v>0.5</v>
      </c>
      <c r="D33" s="29" t="n">
        <f aca="false">B33*Premissas!$J$7*Premissas!$B$27</f>
        <v>41418.3572269421</v>
      </c>
      <c r="E33" s="29" t="n">
        <f aca="false">C33*Premissas!$J$8*Premissas!$B$27</f>
        <v>0</v>
      </c>
      <c r="F33" s="29" t="n">
        <f aca="false">D33+E33</f>
        <v>41418.3572269421</v>
      </c>
      <c r="G33" s="29" t="n">
        <f aca="false">F33*Premissas!$J$14</f>
        <v>2485.10143361653</v>
      </c>
      <c r="H33" s="29" t="n">
        <f aca="false">F33*Premissas!$J$13</f>
        <v>4141.83572269421</v>
      </c>
      <c r="I33" s="29" t="n">
        <f aca="false">F33-G33-H33</f>
        <v>34791.4200706314</v>
      </c>
      <c r="J33" s="29" t="n">
        <f aca="false">Premissas!$J$15+Premissas!$J$16</f>
        <v>6500</v>
      </c>
      <c r="K33" s="29" t="n">
        <f aca="false">I33-J33</f>
        <v>28291.4200706314</v>
      </c>
      <c r="L33" s="29" t="n">
        <f aca="false">K33</f>
        <v>28291.4200706314</v>
      </c>
      <c r="M33" s="29" t="n">
        <f aca="false">M32+L33</f>
        <v>355363.415361871</v>
      </c>
      <c r="N33" s="27" t="n">
        <f aca="false">IF(M33&gt;=0,1,0)</f>
        <v>1</v>
      </c>
    </row>
    <row r="34" customFormat="false" ht="15" hidden="false" customHeight="false" outlineLevel="0" collapsed="false">
      <c r="A34" s="27" t="n">
        <f aca="false">A33+1</f>
        <v>29</v>
      </c>
      <c r="B34" s="28" t="n">
        <f aca="false">MIN(Premissas!$J$11,B33*(1-Premissas!$J$12)+IF(A34=1,Premissas!$J$9,Premissas!$J$10*Premissas!$B$26))</f>
        <v>12</v>
      </c>
      <c r="C34" s="28" t="n">
        <f aca="false">MAX(0,B34-B33*(1-Premissas!$J$12))</f>
        <v>0.343690894703427</v>
      </c>
      <c r="D34" s="29" t="n">
        <f aca="false">B34*Premissas!$J$7*Premissas!$B$27</f>
        <v>42000</v>
      </c>
      <c r="E34" s="29" t="n">
        <f aca="false">C34*Premissas!$J$8*Premissas!$B$27</f>
        <v>0</v>
      </c>
      <c r="F34" s="29" t="n">
        <f aca="false">D34+E34</f>
        <v>42000</v>
      </c>
      <c r="G34" s="29" t="n">
        <f aca="false">F34*Premissas!$J$14</f>
        <v>2520</v>
      </c>
      <c r="H34" s="29" t="n">
        <f aca="false">F34*Premissas!$J$13</f>
        <v>4200</v>
      </c>
      <c r="I34" s="29" t="n">
        <f aca="false">F34-G34-H34</f>
        <v>35280</v>
      </c>
      <c r="J34" s="29" t="n">
        <f aca="false">Premissas!$J$15+Premissas!$J$16</f>
        <v>6500</v>
      </c>
      <c r="K34" s="29" t="n">
        <f aca="false">I34-J34</f>
        <v>28780</v>
      </c>
      <c r="L34" s="29" t="n">
        <f aca="false">K34</f>
        <v>28780</v>
      </c>
      <c r="M34" s="29" t="n">
        <f aca="false">M33+L34</f>
        <v>384143.415361871</v>
      </c>
      <c r="N34" s="27" t="n">
        <f aca="false">IF(M34&gt;=0,1,0)</f>
        <v>1</v>
      </c>
    </row>
    <row r="35" customFormat="false" ht="15" hidden="false" customHeight="false" outlineLevel="0" collapsed="false">
      <c r="A35" s="27" t="n">
        <f aca="false">A34+1</f>
        <v>30</v>
      </c>
      <c r="B35" s="28" t="n">
        <f aca="false">MIN(Premissas!$J$11,B34*(1-Premissas!$J$12)+IF(A35=1,Premissas!$J$9,Premissas!$J$10*Premissas!$B$26))</f>
        <v>12</v>
      </c>
      <c r="C35" s="28" t="n">
        <f aca="false">MAX(0,B35-B34*(1-Premissas!$J$12))</f>
        <v>0.18</v>
      </c>
      <c r="D35" s="29" t="n">
        <f aca="false">B35*Premissas!$J$7*Premissas!$B$27</f>
        <v>42000</v>
      </c>
      <c r="E35" s="29" t="n">
        <f aca="false">C35*Premissas!$J$8*Premissas!$B$27</f>
        <v>0</v>
      </c>
      <c r="F35" s="29" t="n">
        <f aca="false">D35+E35</f>
        <v>42000</v>
      </c>
      <c r="G35" s="29" t="n">
        <f aca="false">F35*Premissas!$J$14</f>
        <v>2520</v>
      </c>
      <c r="H35" s="29" t="n">
        <f aca="false">F35*Premissas!$J$13</f>
        <v>4200</v>
      </c>
      <c r="I35" s="29" t="n">
        <f aca="false">F35-G35-H35</f>
        <v>35280</v>
      </c>
      <c r="J35" s="29" t="n">
        <f aca="false">Premissas!$J$15+Premissas!$J$16</f>
        <v>6500</v>
      </c>
      <c r="K35" s="29" t="n">
        <f aca="false">I35-J35</f>
        <v>28780</v>
      </c>
      <c r="L35" s="29" t="n">
        <f aca="false">K35</f>
        <v>28780</v>
      </c>
      <c r="M35" s="29" t="n">
        <f aca="false">M34+L35</f>
        <v>412923.415361871</v>
      </c>
      <c r="N35" s="27" t="n">
        <f aca="false">IF(M35&gt;=0,1,0)</f>
        <v>1</v>
      </c>
    </row>
    <row r="36" customFormat="false" ht="15" hidden="false" customHeight="false" outlineLevel="0" collapsed="false">
      <c r="A36" s="27" t="n">
        <f aca="false">A35+1</f>
        <v>31</v>
      </c>
      <c r="B36" s="28" t="n">
        <f aca="false">MIN(Premissas!$J$11,B35*(1-Premissas!$J$12)+IF(A36=1,Premissas!$J$9,Premissas!$J$10*Premissas!$B$26))</f>
        <v>12</v>
      </c>
      <c r="C36" s="28" t="n">
        <f aca="false">MAX(0,B36-B35*(1-Premissas!$J$12))</f>
        <v>0.18</v>
      </c>
      <c r="D36" s="29" t="n">
        <f aca="false">B36*Premissas!$J$7*Premissas!$B$27</f>
        <v>42000</v>
      </c>
      <c r="E36" s="29" t="n">
        <f aca="false">C36*Premissas!$J$8*Premissas!$B$27</f>
        <v>0</v>
      </c>
      <c r="F36" s="29" t="n">
        <f aca="false">D36+E36</f>
        <v>42000</v>
      </c>
      <c r="G36" s="29" t="n">
        <f aca="false">F36*Premissas!$J$14</f>
        <v>2520</v>
      </c>
      <c r="H36" s="29" t="n">
        <f aca="false">F36*Premissas!$J$13</f>
        <v>4200</v>
      </c>
      <c r="I36" s="29" t="n">
        <f aca="false">F36-G36-H36</f>
        <v>35280</v>
      </c>
      <c r="J36" s="29" t="n">
        <f aca="false">Premissas!$J$15+Premissas!$J$16</f>
        <v>6500</v>
      </c>
      <c r="K36" s="29" t="n">
        <f aca="false">I36-J36</f>
        <v>28780</v>
      </c>
      <c r="L36" s="29" t="n">
        <f aca="false">K36</f>
        <v>28780</v>
      </c>
      <c r="M36" s="29" t="n">
        <f aca="false">M35+L36</f>
        <v>441703.415361871</v>
      </c>
      <c r="N36" s="27" t="n">
        <f aca="false">IF(M36&gt;=0,1,0)</f>
        <v>1</v>
      </c>
    </row>
    <row r="37" customFormat="false" ht="15" hidden="false" customHeight="false" outlineLevel="0" collapsed="false">
      <c r="A37" s="27" t="n">
        <f aca="false">A36+1</f>
        <v>32</v>
      </c>
      <c r="B37" s="28" t="n">
        <f aca="false">MIN(Premissas!$J$11,B36*(1-Premissas!$J$12)+IF(A37=1,Premissas!$J$9,Premissas!$J$10*Premissas!$B$26))</f>
        <v>12</v>
      </c>
      <c r="C37" s="28" t="n">
        <f aca="false">MAX(0,B37-B36*(1-Premissas!$J$12))</f>
        <v>0.18</v>
      </c>
      <c r="D37" s="29" t="n">
        <f aca="false">B37*Premissas!$J$7*Premissas!$B$27</f>
        <v>42000</v>
      </c>
      <c r="E37" s="29" t="n">
        <f aca="false">C37*Premissas!$J$8*Premissas!$B$27</f>
        <v>0</v>
      </c>
      <c r="F37" s="29" t="n">
        <f aca="false">D37+E37</f>
        <v>42000</v>
      </c>
      <c r="G37" s="29" t="n">
        <f aca="false">F37*Premissas!$J$14</f>
        <v>2520</v>
      </c>
      <c r="H37" s="29" t="n">
        <f aca="false">F37*Premissas!$J$13</f>
        <v>4200</v>
      </c>
      <c r="I37" s="29" t="n">
        <f aca="false">F37-G37-H37</f>
        <v>35280</v>
      </c>
      <c r="J37" s="29" t="n">
        <f aca="false">Premissas!$J$15+Premissas!$J$16</f>
        <v>6500</v>
      </c>
      <c r="K37" s="29" t="n">
        <f aca="false">I37-J37</f>
        <v>28780</v>
      </c>
      <c r="L37" s="29" t="n">
        <f aca="false">K37</f>
        <v>28780</v>
      </c>
      <c r="M37" s="29" t="n">
        <f aca="false">M36+L37</f>
        <v>470483.415361871</v>
      </c>
      <c r="N37" s="27" t="n">
        <f aca="false">IF(M37&gt;=0,1,0)</f>
        <v>1</v>
      </c>
    </row>
    <row r="38" customFormat="false" ht="15" hidden="false" customHeight="false" outlineLevel="0" collapsed="false">
      <c r="A38" s="27" t="n">
        <f aca="false">A37+1</f>
        <v>33</v>
      </c>
      <c r="B38" s="28" t="n">
        <f aca="false">MIN(Premissas!$J$11,B37*(1-Premissas!$J$12)+IF(A38=1,Premissas!$J$9,Premissas!$J$10*Premissas!$B$26))</f>
        <v>12</v>
      </c>
      <c r="C38" s="28" t="n">
        <f aca="false">MAX(0,B38-B37*(1-Premissas!$J$12))</f>
        <v>0.18</v>
      </c>
      <c r="D38" s="29" t="n">
        <f aca="false">B38*Premissas!$J$7*Premissas!$B$27</f>
        <v>42000</v>
      </c>
      <c r="E38" s="29" t="n">
        <f aca="false">C38*Premissas!$J$8*Premissas!$B$27</f>
        <v>0</v>
      </c>
      <c r="F38" s="29" t="n">
        <f aca="false">D38+E38</f>
        <v>42000</v>
      </c>
      <c r="G38" s="29" t="n">
        <f aca="false">F38*Premissas!$J$14</f>
        <v>2520</v>
      </c>
      <c r="H38" s="29" t="n">
        <f aca="false">F38*Premissas!$J$13</f>
        <v>4200</v>
      </c>
      <c r="I38" s="29" t="n">
        <f aca="false">F38-G38-H38</f>
        <v>35280</v>
      </c>
      <c r="J38" s="29" t="n">
        <f aca="false">Premissas!$J$15+Premissas!$J$16</f>
        <v>6500</v>
      </c>
      <c r="K38" s="29" t="n">
        <f aca="false">I38-J38</f>
        <v>28780</v>
      </c>
      <c r="L38" s="29" t="n">
        <f aca="false">K38</f>
        <v>28780</v>
      </c>
      <c r="M38" s="29" t="n">
        <f aca="false">M37+L38</f>
        <v>499263.415361871</v>
      </c>
      <c r="N38" s="27" t="n">
        <f aca="false">IF(M38&gt;=0,1,0)</f>
        <v>1</v>
      </c>
    </row>
    <row r="39" customFormat="false" ht="15" hidden="false" customHeight="false" outlineLevel="0" collapsed="false">
      <c r="A39" s="27" t="n">
        <f aca="false">A38+1</f>
        <v>34</v>
      </c>
      <c r="B39" s="28" t="n">
        <f aca="false">MIN(Premissas!$J$11,B38*(1-Premissas!$J$12)+IF(A39=1,Premissas!$J$9,Premissas!$J$10*Premissas!$B$26))</f>
        <v>12</v>
      </c>
      <c r="C39" s="28" t="n">
        <f aca="false">MAX(0,B39-B38*(1-Premissas!$J$12))</f>
        <v>0.18</v>
      </c>
      <c r="D39" s="29" t="n">
        <f aca="false">B39*Premissas!$J$7*Premissas!$B$27</f>
        <v>42000</v>
      </c>
      <c r="E39" s="29" t="n">
        <f aca="false">C39*Premissas!$J$8*Premissas!$B$27</f>
        <v>0</v>
      </c>
      <c r="F39" s="29" t="n">
        <f aca="false">D39+E39</f>
        <v>42000</v>
      </c>
      <c r="G39" s="29" t="n">
        <f aca="false">F39*Premissas!$J$14</f>
        <v>2520</v>
      </c>
      <c r="H39" s="29" t="n">
        <f aca="false">F39*Premissas!$J$13</f>
        <v>4200</v>
      </c>
      <c r="I39" s="29" t="n">
        <f aca="false">F39-G39-H39</f>
        <v>35280</v>
      </c>
      <c r="J39" s="29" t="n">
        <f aca="false">Premissas!$J$15+Premissas!$J$16</f>
        <v>6500</v>
      </c>
      <c r="K39" s="29" t="n">
        <f aca="false">I39-J39</f>
        <v>28780</v>
      </c>
      <c r="L39" s="29" t="n">
        <f aca="false">K39</f>
        <v>28780</v>
      </c>
      <c r="M39" s="29" t="n">
        <f aca="false">M38+L39</f>
        <v>528043.415361871</v>
      </c>
      <c r="N39" s="27" t="n">
        <f aca="false">IF(M39&gt;=0,1,0)</f>
        <v>1</v>
      </c>
    </row>
    <row r="40" customFormat="false" ht="15" hidden="false" customHeight="false" outlineLevel="0" collapsed="false">
      <c r="A40" s="27" t="n">
        <f aca="false">A39+1</f>
        <v>35</v>
      </c>
      <c r="B40" s="28" t="n">
        <f aca="false">MIN(Premissas!$J$11,B39*(1-Premissas!$J$12)+IF(A40=1,Premissas!$J$9,Premissas!$J$10*Premissas!$B$26))</f>
        <v>12</v>
      </c>
      <c r="C40" s="28" t="n">
        <f aca="false">MAX(0,B40-B39*(1-Premissas!$J$12))</f>
        <v>0.18</v>
      </c>
      <c r="D40" s="29" t="n">
        <f aca="false">B40*Premissas!$J$7*Premissas!$B$27</f>
        <v>42000</v>
      </c>
      <c r="E40" s="29" t="n">
        <f aca="false">C40*Premissas!$J$8*Premissas!$B$27</f>
        <v>0</v>
      </c>
      <c r="F40" s="29" t="n">
        <f aca="false">D40+E40</f>
        <v>42000</v>
      </c>
      <c r="G40" s="29" t="n">
        <f aca="false">F40*Premissas!$J$14</f>
        <v>2520</v>
      </c>
      <c r="H40" s="29" t="n">
        <f aca="false">F40*Premissas!$J$13</f>
        <v>4200</v>
      </c>
      <c r="I40" s="29" t="n">
        <f aca="false">F40-G40-H40</f>
        <v>35280</v>
      </c>
      <c r="J40" s="29" t="n">
        <f aca="false">Premissas!$J$15+Premissas!$J$16</f>
        <v>6500</v>
      </c>
      <c r="K40" s="29" t="n">
        <f aca="false">I40-J40</f>
        <v>28780</v>
      </c>
      <c r="L40" s="29" t="n">
        <f aca="false">K40</f>
        <v>28780</v>
      </c>
      <c r="M40" s="29" t="n">
        <f aca="false">M39+L40</f>
        <v>556823.415361871</v>
      </c>
      <c r="N40" s="27" t="n">
        <f aca="false">IF(M40&gt;=0,1,0)</f>
        <v>1</v>
      </c>
    </row>
    <row r="41" customFormat="false" ht="15" hidden="false" customHeight="false" outlineLevel="0" collapsed="false">
      <c r="A41" s="31" t="n">
        <f aca="false">A40+1</f>
        <v>36</v>
      </c>
      <c r="B41" s="32" t="n">
        <f aca="false">MIN(Premissas!$J$11,B40*(1-Premissas!$J$12)+IF(A41=1,Premissas!$J$9,Premissas!$J$10*Premissas!$B$26))</f>
        <v>12</v>
      </c>
      <c r="C41" s="32" t="n">
        <f aca="false">MAX(0,B41-B40*(1-Premissas!$J$12))</f>
        <v>0.18</v>
      </c>
      <c r="D41" s="33" t="n">
        <f aca="false">B41*Premissas!$J$7*Premissas!$B$27</f>
        <v>42000</v>
      </c>
      <c r="E41" s="33" t="n">
        <f aca="false">C41*Premissas!$J$8*Premissas!$B$27</f>
        <v>0</v>
      </c>
      <c r="F41" s="33" t="n">
        <f aca="false">D41+E41</f>
        <v>42000</v>
      </c>
      <c r="G41" s="33" t="n">
        <f aca="false">F41*Premissas!$J$14</f>
        <v>2520</v>
      </c>
      <c r="H41" s="33" t="n">
        <f aca="false">F41*Premissas!$J$13</f>
        <v>4200</v>
      </c>
      <c r="I41" s="33" t="n">
        <f aca="false">F41-G41-H41</f>
        <v>35280</v>
      </c>
      <c r="J41" s="33" t="n">
        <f aca="false">Premissas!$J$15+Premissas!$J$16</f>
        <v>6500</v>
      </c>
      <c r="K41" s="33" t="n">
        <f aca="false">I41-J41</f>
        <v>28780</v>
      </c>
      <c r="L41" s="33" t="n">
        <f aca="false">K41</f>
        <v>28780</v>
      </c>
      <c r="M41" s="33" t="n">
        <f aca="false">M40+L41</f>
        <v>585603.415361871</v>
      </c>
      <c r="N41" s="31" t="n">
        <f aca="false">IF(M41&gt;=0,1,0)</f>
        <v>1</v>
      </c>
    </row>
    <row r="43" customFormat="false" ht="15" hidden="false" customHeight="false" outlineLevel="0" collapsed="false">
      <c r="A43" s="15" t="s">
        <v>147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6" min="4" style="0" width="16"/>
    <col collapsed="false" customWidth="true" hidden="false" outlineLevel="0" max="7" min="7" style="0" width="14"/>
    <col collapsed="false" customWidth="true" hidden="false" outlineLevel="0" max="13" min="8" style="0" width="16"/>
    <col collapsed="false" customWidth="true" hidden="false" outlineLevel="0" max="14" min="14" style="0" width="12"/>
  </cols>
  <sheetData>
    <row r="1" customFormat="false" ht="17.35" hidden="false" customHeight="false" outlineLevel="0" collapsed="false">
      <c r="A1" s="1" t="s">
        <v>156</v>
      </c>
    </row>
    <row r="2" customFormat="false" ht="15" hidden="false" customHeight="false" outlineLevel="0" collapsed="false">
      <c r="A2" s="0" t="s">
        <v>33</v>
      </c>
      <c r="B2" s="5" t="str">
        <f aca="false">Premissas!$B$19</f>
        <v>Base</v>
      </c>
    </row>
    <row r="4" customFormat="false" ht="45" hidden="false" customHeight="true" outlineLevel="0" collapsed="false">
      <c r="A4" s="6" t="s">
        <v>133</v>
      </c>
      <c r="B4" s="6" t="s">
        <v>134</v>
      </c>
      <c r="C4" s="6" t="s">
        <v>135</v>
      </c>
      <c r="D4" s="6" t="s">
        <v>136</v>
      </c>
      <c r="E4" s="6" t="s">
        <v>137</v>
      </c>
      <c r="F4" s="6" t="s">
        <v>138</v>
      </c>
      <c r="G4" s="6" t="s">
        <v>139</v>
      </c>
      <c r="H4" s="6" t="s">
        <v>140</v>
      </c>
      <c r="I4" s="6" t="s">
        <v>141</v>
      </c>
      <c r="J4" s="6" t="s">
        <v>142</v>
      </c>
      <c r="K4" s="6" t="s">
        <v>143</v>
      </c>
      <c r="L4" s="6" t="s">
        <v>144</v>
      </c>
      <c r="M4" s="6" t="s">
        <v>145</v>
      </c>
      <c r="N4" s="6" t="s">
        <v>146</v>
      </c>
    </row>
    <row r="5" customFormat="false" ht="15" hidden="false" customHeight="false" outlineLevel="0" collapsed="false">
      <c r="A5" s="27" t="n">
        <v>0</v>
      </c>
      <c r="B5" s="28" t="n">
        <v>0</v>
      </c>
      <c r="C5" s="28" t="n">
        <v>0</v>
      </c>
      <c r="D5" s="29" t="n">
        <v>0</v>
      </c>
      <c r="E5" s="29" t="n">
        <v>0</v>
      </c>
      <c r="F5" s="29" t="n">
        <v>0</v>
      </c>
      <c r="G5" s="29" t="n">
        <v>0</v>
      </c>
      <c r="H5" s="29" t="n">
        <v>0</v>
      </c>
      <c r="I5" s="29" t="n">
        <v>0</v>
      </c>
      <c r="J5" s="29" t="n">
        <v>0</v>
      </c>
      <c r="K5" s="29" t="n">
        <v>0</v>
      </c>
      <c r="L5" s="30" t="n">
        <f aca="false">-Premissas!$K$6</f>
        <v>-600000</v>
      </c>
      <c r="M5" s="29" t="n">
        <f aca="false">L5</f>
        <v>-600000</v>
      </c>
      <c r="N5" s="27" t="n">
        <f aca="false">IF(M5&gt;=0,1,0)</f>
        <v>0</v>
      </c>
    </row>
    <row r="6" customFormat="false" ht="15" hidden="false" customHeight="false" outlineLevel="0" collapsed="false">
      <c r="A6" s="27" t="n">
        <f aca="false">A5+1</f>
        <v>1</v>
      </c>
      <c r="B6" s="28" t="n">
        <f aca="false">MIN(Premissas!$K$11,B5*(1-Premissas!$K$12)+IF(A6=1,Premissas!$K$9,Premissas!$K$10*Premissas!$B$26))</f>
        <v>5</v>
      </c>
      <c r="C6" s="28" t="n">
        <f aca="false">MAX(0,B6-B5*(1-Premissas!$K$12))</f>
        <v>5</v>
      </c>
      <c r="D6" s="29" t="n">
        <f aca="false">B6*Premissas!$K$7*Premissas!$B$27</f>
        <v>20000</v>
      </c>
      <c r="E6" s="29" t="n">
        <f aca="false">C6*Premissas!$K$8*Premissas!$B$27</f>
        <v>7500</v>
      </c>
      <c r="F6" s="29" t="n">
        <f aca="false">D6+E6</f>
        <v>27500</v>
      </c>
      <c r="G6" s="29" t="n">
        <f aca="false">F6*Premissas!$K$14</f>
        <v>3025</v>
      </c>
      <c r="H6" s="29" t="n">
        <f aca="false">F6*Premissas!$K$13</f>
        <v>13750</v>
      </c>
      <c r="I6" s="29" t="n">
        <f aca="false">F6-G6-H6</f>
        <v>10725</v>
      </c>
      <c r="J6" s="29" t="n">
        <f aca="false">Premissas!$K$15+Premissas!$K$16</f>
        <v>43000</v>
      </c>
      <c r="K6" s="29" t="n">
        <f aca="false">I6-J6</f>
        <v>-32275</v>
      </c>
      <c r="L6" s="29" t="n">
        <f aca="false">K6</f>
        <v>-32275</v>
      </c>
      <c r="M6" s="29" t="n">
        <f aca="false">M5+L6</f>
        <v>-632275</v>
      </c>
      <c r="N6" s="27" t="n">
        <f aca="false">IF(M6&gt;=0,1,0)</f>
        <v>0</v>
      </c>
    </row>
    <row r="7" customFormat="false" ht="15" hidden="false" customHeight="false" outlineLevel="0" collapsed="false">
      <c r="A7" s="27" t="n">
        <f aca="false">A6+1</f>
        <v>2</v>
      </c>
      <c r="B7" s="28" t="n">
        <f aca="false">MIN(Premissas!$K$11,B6*(1-Premissas!$K$12)+IF(A7=1,Premissas!$K$9,Premissas!$K$10*Premissas!$B$26))</f>
        <v>8.9</v>
      </c>
      <c r="C7" s="28" t="n">
        <f aca="false">MAX(0,B7-B6*(1-Premissas!$K$12))</f>
        <v>4</v>
      </c>
      <c r="D7" s="29" t="n">
        <f aca="false">B7*Premissas!$K$7*Premissas!$B$27</f>
        <v>35600</v>
      </c>
      <c r="E7" s="29" t="n">
        <f aca="false">C7*Premissas!$K$8*Premissas!$B$27</f>
        <v>6000</v>
      </c>
      <c r="F7" s="29" t="n">
        <f aca="false">D7+E7</f>
        <v>41600</v>
      </c>
      <c r="G7" s="29" t="n">
        <f aca="false">F7*Premissas!$K$14</f>
        <v>4576</v>
      </c>
      <c r="H7" s="29" t="n">
        <f aca="false">F7*Premissas!$K$13</f>
        <v>20800</v>
      </c>
      <c r="I7" s="29" t="n">
        <f aca="false">F7-G7-H7</f>
        <v>16224</v>
      </c>
      <c r="J7" s="29" t="n">
        <f aca="false">Premissas!$K$15+Premissas!$K$16</f>
        <v>43000</v>
      </c>
      <c r="K7" s="29" t="n">
        <f aca="false">I7-J7</f>
        <v>-26776</v>
      </c>
      <c r="L7" s="29" t="n">
        <f aca="false">K7</f>
        <v>-26776</v>
      </c>
      <c r="M7" s="29" t="n">
        <f aca="false">M6+L7</f>
        <v>-659051</v>
      </c>
      <c r="N7" s="27" t="n">
        <f aca="false">IF(M7&gt;=0,1,0)</f>
        <v>0</v>
      </c>
    </row>
    <row r="8" customFormat="false" ht="15" hidden="false" customHeight="false" outlineLevel="0" collapsed="false">
      <c r="A8" s="27" t="n">
        <f aca="false">A7+1</f>
        <v>3</v>
      </c>
      <c r="B8" s="28" t="n">
        <f aca="false">MIN(Premissas!$K$11,B7*(1-Premissas!$K$12)+IF(A8=1,Premissas!$K$9,Premissas!$K$10*Premissas!$B$26))</f>
        <v>12.722</v>
      </c>
      <c r="C8" s="28" t="n">
        <f aca="false">MAX(0,B8-B7*(1-Premissas!$K$12))</f>
        <v>4</v>
      </c>
      <c r="D8" s="29" t="n">
        <f aca="false">B8*Premissas!$K$7*Premissas!$B$27</f>
        <v>50888</v>
      </c>
      <c r="E8" s="29" t="n">
        <f aca="false">C8*Premissas!$K$8*Premissas!$B$27</f>
        <v>6000</v>
      </c>
      <c r="F8" s="29" t="n">
        <f aca="false">D8+E8</f>
        <v>56888</v>
      </c>
      <c r="G8" s="29" t="n">
        <f aca="false">F8*Premissas!$K$14</f>
        <v>6257.68</v>
      </c>
      <c r="H8" s="29" t="n">
        <f aca="false">F8*Premissas!$K$13</f>
        <v>28444</v>
      </c>
      <c r="I8" s="29" t="n">
        <f aca="false">F8-G8-H8</f>
        <v>22186.32</v>
      </c>
      <c r="J8" s="29" t="n">
        <f aca="false">Premissas!$K$15+Premissas!$K$16</f>
        <v>43000</v>
      </c>
      <c r="K8" s="29" t="n">
        <f aca="false">I8-J8</f>
        <v>-20813.68</v>
      </c>
      <c r="L8" s="29" t="n">
        <f aca="false">K8</f>
        <v>-20813.68</v>
      </c>
      <c r="M8" s="29" t="n">
        <f aca="false">M7+L8</f>
        <v>-679864.68</v>
      </c>
      <c r="N8" s="27" t="n">
        <f aca="false">IF(M8&gt;=0,1,0)</f>
        <v>0</v>
      </c>
    </row>
    <row r="9" customFormat="false" ht="15" hidden="false" customHeight="false" outlineLevel="0" collapsed="false">
      <c r="A9" s="27" t="n">
        <f aca="false">A8+1</f>
        <v>4</v>
      </c>
      <c r="B9" s="28" t="n">
        <f aca="false">MIN(Premissas!$K$11,B8*(1-Premissas!$K$12)+IF(A9=1,Premissas!$K$9,Premissas!$K$10*Premissas!$B$26))</f>
        <v>16.46756</v>
      </c>
      <c r="C9" s="28" t="n">
        <f aca="false">MAX(0,B9-B8*(1-Premissas!$K$12))</f>
        <v>4</v>
      </c>
      <c r="D9" s="29" t="n">
        <f aca="false">B9*Premissas!$K$7*Premissas!$B$27</f>
        <v>65870.24</v>
      </c>
      <c r="E9" s="29" t="n">
        <f aca="false">C9*Premissas!$K$8*Premissas!$B$27</f>
        <v>6000</v>
      </c>
      <c r="F9" s="29" t="n">
        <f aca="false">D9+E9</f>
        <v>71870.24</v>
      </c>
      <c r="G9" s="29" t="n">
        <f aca="false">F9*Premissas!$K$14</f>
        <v>7905.7264</v>
      </c>
      <c r="H9" s="29" t="n">
        <f aca="false">F9*Premissas!$K$13</f>
        <v>35935.12</v>
      </c>
      <c r="I9" s="29" t="n">
        <f aca="false">F9-G9-H9</f>
        <v>28029.3936</v>
      </c>
      <c r="J9" s="29" t="n">
        <f aca="false">Premissas!$K$15+Premissas!$K$16</f>
        <v>43000</v>
      </c>
      <c r="K9" s="29" t="n">
        <f aca="false">I9-J9</f>
        <v>-14970.6064</v>
      </c>
      <c r="L9" s="29" t="n">
        <f aca="false">K9</f>
        <v>-14970.6064</v>
      </c>
      <c r="M9" s="29" t="n">
        <f aca="false">M8+L9</f>
        <v>-694835.2864</v>
      </c>
      <c r="N9" s="27" t="n">
        <f aca="false">IF(M9&gt;=0,1,0)</f>
        <v>0</v>
      </c>
    </row>
    <row r="10" customFormat="false" ht="15" hidden="false" customHeight="false" outlineLevel="0" collapsed="false">
      <c r="A10" s="27" t="n">
        <f aca="false">A9+1</f>
        <v>5</v>
      </c>
      <c r="B10" s="28" t="n">
        <f aca="false">MIN(Premissas!$K$11,B9*(1-Premissas!$K$12)+IF(A10=1,Premissas!$K$9,Premissas!$K$10*Premissas!$B$26))</f>
        <v>20.1382088</v>
      </c>
      <c r="C10" s="28" t="n">
        <f aca="false">MAX(0,B10-B9*(1-Premissas!$K$12))</f>
        <v>4</v>
      </c>
      <c r="D10" s="29" t="n">
        <f aca="false">B10*Premissas!$K$7*Premissas!$B$27</f>
        <v>80552.8352</v>
      </c>
      <c r="E10" s="29" t="n">
        <f aca="false">C10*Premissas!$K$8*Premissas!$B$27</f>
        <v>6000</v>
      </c>
      <c r="F10" s="29" t="n">
        <f aca="false">D10+E10</f>
        <v>86552.8352</v>
      </c>
      <c r="G10" s="29" t="n">
        <f aca="false">F10*Premissas!$K$14</f>
        <v>9520.811872</v>
      </c>
      <c r="H10" s="29" t="n">
        <f aca="false">F10*Premissas!$K$13</f>
        <v>43276.4176</v>
      </c>
      <c r="I10" s="29" t="n">
        <f aca="false">F10-G10-H10</f>
        <v>33755.605728</v>
      </c>
      <c r="J10" s="29" t="n">
        <f aca="false">Premissas!$K$15+Premissas!$K$16</f>
        <v>43000</v>
      </c>
      <c r="K10" s="29" t="n">
        <f aca="false">I10-J10</f>
        <v>-9244.39427200001</v>
      </c>
      <c r="L10" s="29" t="n">
        <f aca="false">K10</f>
        <v>-9244.39427200001</v>
      </c>
      <c r="M10" s="29" t="n">
        <f aca="false">M9+L10</f>
        <v>-704079.680672</v>
      </c>
      <c r="N10" s="27" t="n">
        <f aca="false">IF(M10&gt;=0,1,0)</f>
        <v>0</v>
      </c>
    </row>
    <row r="11" customFormat="false" ht="15" hidden="false" customHeight="false" outlineLevel="0" collapsed="false">
      <c r="A11" s="27" t="n">
        <f aca="false">A10+1</f>
        <v>6</v>
      </c>
      <c r="B11" s="28" t="n">
        <f aca="false">MIN(Premissas!$K$11,B10*(1-Premissas!$K$12)+IF(A11=1,Premissas!$K$9,Premissas!$K$10*Premissas!$B$26))</f>
        <v>23.735444624</v>
      </c>
      <c r="C11" s="28" t="n">
        <f aca="false">MAX(0,B11-B10*(1-Premissas!$K$12))</f>
        <v>4</v>
      </c>
      <c r="D11" s="29" t="n">
        <f aca="false">B11*Premissas!$K$7*Premissas!$B$27</f>
        <v>94941.778496</v>
      </c>
      <c r="E11" s="29" t="n">
        <f aca="false">C11*Premissas!$K$8*Premissas!$B$27</f>
        <v>6000</v>
      </c>
      <c r="F11" s="29" t="n">
        <f aca="false">D11+E11</f>
        <v>100941.778496</v>
      </c>
      <c r="G11" s="29" t="n">
        <f aca="false">F11*Premissas!$K$14</f>
        <v>11103.59563456</v>
      </c>
      <c r="H11" s="29" t="n">
        <f aca="false">F11*Premissas!$K$13</f>
        <v>50470.889248</v>
      </c>
      <c r="I11" s="29" t="n">
        <f aca="false">F11-G11-H11</f>
        <v>39367.29361344</v>
      </c>
      <c r="J11" s="29" t="n">
        <f aca="false">Premissas!$K$15+Premissas!$K$16</f>
        <v>43000</v>
      </c>
      <c r="K11" s="29" t="n">
        <f aca="false">I11-J11</f>
        <v>-3632.70638656001</v>
      </c>
      <c r="L11" s="29" t="n">
        <f aca="false">K11</f>
        <v>-3632.70638656001</v>
      </c>
      <c r="M11" s="29" t="n">
        <f aca="false">M10+L11</f>
        <v>-707712.38705856</v>
      </c>
      <c r="N11" s="27" t="n">
        <f aca="false">IF(M11&gt;=0,1,0)</f>
        <v>0</v>
      </c>
    </row>
    <row r="12" customFormat="false" ht="15" hidden="false" customHeight="false" outlineLevel="0" collapsed="false">
      <c r="A12" s="27" t="n">
        <f aca="false">A11+1</f>
        <v>7</v>
      </c>
      <c r="B12" s="28" t="n">
        <f aca="false">MIN(Premissas!$K$11,B11*(1-Premissas!$K$12)+IF(A12=1,Premissas!$K$9,Premissas!$K$10*Premissas!$B$26))</f>
        <v>27.26073573152</v>
      </c>
      <c r="C12" s="28" t="n">
        <f aca="false">MAX(0,B12-B11*(1-Premissas!$K$12))</f>
        <v>4</v>
      </c>
      <c r="D12" s="29" t="n">
        <f aca="false">B12*Premissas!$K$7*Premissas!$B$27</f>
        <v>109042.94292608</v>
      </c>
      <c r="E12" s="29" t="n">
        <f aca="false">C12*Premissas!$K$8*Premissas!$B$27</f>
        <v>6000</v>
      </c>
      <c r="F12" s="29" t="n">
        <f aca="false">D12+E12</f>
        <v>115042.94292608</v>
      </c>
      <c r="G12" s="29" t="n">
        <f aca="false">F12*Premissas!$K$14</f>
        <v>12654.7237218688</v>
      </c>
      <c r="H12" s="29" t="n">
        <f aca="false">F12*Premissas!$K$13</f>
        <v>57521.47146304</v>
      </c>
      <c r="I12" s="29" t="n">
        <f aca="false">F12-G12-H12</f>
        <v>44866.7477411712</v>
      </c>
      <c r="J12" s="29" t="n">
        <f aca="false">Premissas!$K$15+Premissas!$K$16</f>
        <v>43000</v>
      </c>
      <c r="K12" s="29" t="n">
        <f aca="false">I12-J12</f>
        <v>1866.7477411712</v>
      </c>
      <c r="L12" s="29" t="n">
        <f aca="false">K12</f>
        <v>1866.7477411712</v>
      </c>
      <c r="M12" s="29" t="n">
        <f aca="false">M11+L12</f>
        <v>-705845.639317389</v>
      </c>
      <c r="N12" s="27" t="n">
        <f aca="false">IF(M12&gt;=0,1,0)</f>
        <v>0</v>
      </c>
    </row>
    <row r="13" customFormat="false" ht="15" hidden="false" customHeight="false" outlineLevel="0" collapsed="false">
      <c r="A13" s="27" t="n">
        <f aca="false">A12+1</f>
        <v>8</v>
      </c>
      <c r="B13" s="28" t="n">
        <f aca="false">MIN(Premissas!$K$11,B12*(1-Premissas!$K$12)+IF(A13=1,Premissas!$K$9,Premissas!$K$10*Premissas!$B$26))</f>
        <v>30.7155210168896</v>
      </c>
      <c r="C13" s="28" t="n">
        <f aca="false">MAX(0,B13-B12*(1-Premissas!$K$12))</f>
        <v>4</v>
      </c>
      <c r="D13" s="29" t="n">
        <f aca="false">B13*Premissas!$K$7*Premissas!$B$27</f>
        <v>122862.084067558</v>
      </c>
      <c r="E13" s="29" t="n">
        <f aca="false">C13*Premissas!$K$8*Premissas!$B$27</f>
        <v>6000</v>
      </c>
      <c r="F13" s="29" t="n">
        <f aca="false">D13+E13</f>
        <v>128862.084067558</v>
      </c>
      <c r="G13" s="29" t="n">
        <f aca="false">F13*Premissas!$K$14</f>
        <v>14174.8292474314</v>
      </c>
      <c r="H13" s="29" t="n">
        <f aca="false">F13*Premissas!$K$13</f>
        <v>64431.0420337792</v>
      </c>
      <c r="I13" s="29" t="n">
        <f aca="false">F13-G13-H13</f>
        <v>50256.2127863478</v>
      </c>
      <c r="J13" s="29" t="n">
        <f aca="false">Premissas!$K$15+Premissas!$K$16</f>
        <v>43000</v>
      </c>
      <c r="K13" s="29" t="n">
        <f aca="false">I13-J13</f>
        <v>7256.21278634777</v>
      </c>
      <c r="L13" s="29" t="n">
        <f aca="false">K13</f>
        <v>7256.21278634777</v>
      </c>
      <c r="M13" s="29" t="n">
        <f aca="false">M12+L13</f>
        <v>-698589.426531041</v>
      </c>
      <c r="N13" s="27" t="n">
        <f aca="false">IF(M13&gt;=0,1,0)</f>
        <v>0</v>
      </c>
    </row>
    <row r="14" customFormat="false" ht="15" hidden="false" customHeight="false" outlineLevel="0" collapsed="false">
      <c r="A14" s="27" t="n">
        <f aca="false">A13+1</f>
        <v>9</v>
      </c>
      <c r="B14" s="28" t="n">
        <f aca="false">MIN(Premissas!$K$11,B13*(1-Premissas!$K$12)+IF(A14=1,Premissas!$K$9,Premissas!$K$10*Premissas!$B$26))</f>
        <v>34.1012105965518</v>
      </c>
      <c r="C14" s="28" t="n">
        <f aca="false">MAX(0,B14-B13*(1-Premissas!$K$12))</f>
        <v>4</v>
      </c>
      <c r="D14" s="29" t="n">
        <f aca="false">B14*Premissas!$K$7*Premissas!$B$27</f>
        <v>136404.842386207</v>
      </c>
      <c r="E14" s="29" t="n">
        <f aca="false">C14*Premissas!$K$8*Premissas!$B$27</f>
        <v>6000.00000000001</v>
      </c>
      <c r="F14" s="29" t="n">
        <f aca="false">D14+E14</f>
        <v>142404.842386207</v>
      </c>
      <c r="G14" s="29" t="n">
        <f aca="false">F14*Premissas!$K$14</f>
        <v>15664.5326624828</v>
      </c>
      <c r="H14" s="29" t="n">
        <f aca="false">F14*Premissas!$K$13</f>
        <v>71202.4211931036</v>
      </c>
      <c r="I14" s="29" t="n">
        <f aca="false">F14-G14-H14</f>
        <v>55537.8885306208</v>
      </c>
      <c r="J14" s="29" t="n">
        <f aca="false">Premissas!$K$15+Premissas!$K$16</f>
        <v>43000</v>
      </c>
      <c r="K14" s="29" t="n">
        <f aca="false">I14-J14</f>
        <v>12537.8885306208</v>
      </c>
      <c r="L14" s="29" t="n">
        <f aca="false">K14</f>
        <v>12537.8885306208</v>
      </c>
      <c r="M14" s="29" t="n">
        <f aca="false">M13+L14</f>
        <v>-686051.53800042</v>
      </c>
      <c r="N14" s="27" t="n">
        <f aca="false">IF(M14&gt;=0,1,0)</f>
        <v>0</v>
      </c>
    </row>
    <row r="15" customFormat="false" ht="15" hidden="false" customHeight="false" outlineLevel="0" collapsed="false">
      <c r="A15" s="27" t="n">
        <f aca="false">A14+1</f>
        <v>10</v>
      </c>
      <c r="B15" s="28" t="n">
        <f aca="false">MIN(Premissas!$K$11,B14*(1-Premissas!$K$12)+IF(A15=1,Premissas!$K$9,Premissas!$K$10*Premissas!$B$26))</f>
        <v>37.4191863846208</v>
      </c>
      <c r="C15" s="28" t="n">
        <f aca="false">MAX(0,B15-B14*(1-Premissas!$K$12))</f>
        <v>4</v>
      </c>
      <c r="D15" s="29" t="n">
        <f aca="false">B15*Premissas!$K$7*Premissas!$B$27</f>
        <v>149676.745538483</v>
      </c>
      <c r="E15" s="29" t="n">
        <f aca="false">C15*Premissas!$K$8*Premissas!$B$27</f>
        <v>6000</v>
      </c>
      <c r="F15" s="29" t="n">
        <f aca="false">D15+E15</f>
        <v>155676.745538483</v>
      </c>
      <c r="G15" s="29" t="n">
        <f aca="false">F15*Premissas!$K$14</f>
        <v>17124.4420092331</v>
      </c>
      <c r="H15" s="29" t="n">
        <f aca="false">F15*Premissas!$K$13</f>
        <v>77838.3727692415</v>
      </c>
      <c r="I15" s="29" t="n">
        <f aca="false">F15-G15-H15</f>
        <v>60713.9307600084</v>
      </c>
      <c r="J15" s="29" t="n">
        <f aca="false">Premissas!$K$15+Premissas!$K$16</f>
        <v>43000</v>
      </c>
      <c r="K15" s="29" t="n">
        <f aca="false">I15-J15</f>
        <v>17713.9307600084</v>
      </c>
      <c r="L15" s="29" t="n">
        <f aca="false">K15</f>
        <v>17713.9307600084</v>
      </c>
      <c r="M15" s="29" t="n">
        <f aca="false">M14+L15</f>
        <v>-668337.607240412</v>
      </c>
      <c r="N15" s="27" t="n">
        <f aca="false">IF(M15&gt;=0,1,0)</f>
        <v>0</v>
      </c>
    </row>
    <row r="16" customFormat="false" ht="15" hidden="false" customHeight="false" outlineLevel="0" collapsed="false">
      <c r="A16" s="27" t="n">
        <f aca="false">A15+1</f>
        <v>11</v>
      </c>
      <c r="B16" s="28" t="n">
        <f aca="false">MIN(Premissas!$K$11,B15*(1-Premissas!$K$12)+IF(A16=1,Premissas!$K$9,Premissas!$K$10*Premissas!$B$26))</f>
        <v>40.6708026569284</v>
      </c>
      <c r="C16" s="28" t="n">
        <f aca="false">MAX(0,B16-B15*(1-Premissas!$K$12))</f>
        <v>4</v>
      </c>
      <c r="D16" s="29" t="n">
        <f aca="false">B16*Premissas!$K$7*Premissas!$B$27</f>
        <v>162683.210627713</v>
      </c>
      <c r="E16" s="29" t="n">
        <f aca="false">C16*Premissas!$K$8*Premissas!$B$27</f>
        <v>6000</v>
      </c>
      <c r="F16" s="29" t="n">
        <f aca="false">D16+E16</f>
        <v>168683.210627713</v>
      </c>
      <c r="G16" s="29" t="n">
        <f aca="false">F16*Premissas!$K$14</f>
        <v>18555.1531690485</v>
      </c>
      <c r="H16" s="29" t="n">
        <f aca="false">F16*Premissas!$K$13</f>
        <v>84341.6053138567</v>
      </c>
      <c r="I16" s="29" t="n">
        <f aca="false">F16-G16-H16</f>
        <v>65786.4521448082</v>
      </c>
      <c r="J16" s="29" t="n">
        <f aca="false">Premissas!$K$15+Premissas!$K$16</f>
        <v>43000</v>
      </c>
      <c r="K16" s="29" t="n">
        <f aca="false">I16-J16</f>
        <v>22786.4521448082</v>
      </c>
      <c r="L16" s="29" t="n">
        <f aca="false">K16</f>
        <v>22786.4521448082</v>
      </c>
      <c r="M16" s="29" t="n">
        <f aca="false">M15+L16</f>
        <v>-645551.155095604</v>
      </c>
      <c r="N16" s="27" t="n">
        <f aca="false">IF(M16&gt;=0,1,0)</f>
        <v>0</v>
      </c>
    </row>
    <row r="17" customFormat="false" ht="15" hidden="false" customHeight="false" outlineLevel="0" collapsed="false">
      <c r="A17" s="31" t="n">
        <f aca="false">A16+1</f>
        <v>12</v>
      </c>
      <c r="B17" s="32" t="n">
        <f aca="false">MIN(Premissas!$K$11,B16*(1-Premissas!$K$12)+IF(A17=1,Premissas!$K$9,Premissas!$K$10*Premissas!$B$26))</f>
        <v>43.8573866037898</v>
      </c>
      <c r="C17" s="32" t="n">
        <f aca="false">MAX(0,B17-B16*(1-Premissas!$K$12))</f>
        <v>4</v>
      </c>
      <c r="D17" s="33" t="n">
        <f aca="false">B17*Premissas!$K$7*Premissas!$B$27</f>
        <v>175429.546415159</v>
      </c>
      <c r="E17" s="33" t="n">
        <f aca="false">C17*Premissas!$K$8*Premissas!$B$27</f>
        <v>6000</v>
      </c>
      <c r="F17" s="33" t="n">
        <f aca="false">D17+E17</f>
        <v>181429.546415159</v>
      </c>
      <c r="G17" s="33" t="n">
        <f aca="false">F17*Premissas!$K$14</f>
        <v>19957.2501056675</v>
      </c>
      <c r="H17" s="33" t="n">
        <f aca="false">F17*Premissas!$K$13</f>
        <v>90714.7732075796</v>
      </c>
      <c r="I17" s="33" t="n">
        <f aca="false">F17-G17-H17</f>
        <v>70757.5231019121</v>
      </c>
      <c r="J17" s="33" t="n">
        <f aca="false">Premissas!$K$15+Premissas!$K$16</f>
        <v>43000</v>
      </c>
      <c r="K17" s="33" t="n">
        <f aca="false">I17-J17</f>
        <v>27757.5231019121</v>
      </c>
      <c r="L17" s="33" t="n">
        <f aca="false">K17</f>
        <v>27757.5231019121</v>
      </c>
      <c r="M17" s="33" t="n">
        <f aca="false">M16+L17</f>
        <v>-617793.631993692</v>
      </c>
      <c r="N17" s="31" t="n">
        <f aca="false">IF(M17&gt;=0,1,0)</f>
        <v>0</v>
      </c>
    </row>
    <row r="18" customFormat="false" ht="15" hidden="false" customHeight="false" outlineLevel="0" collapsed="false">
      <c r="A18" s="27" t="n">
        <f aca="false">A17+1</f>
        <v>13</v>
      </c>
      <c r="B18" s="28" t="n">
        <f aca="false">MIN(Premissas!$K$11,B17*(1-Premissas!$K$12)+IF(A18=1,Premissas!$K$9,Premissas!$K$10*Premissas!$B$26))</f>
        <v>46.980238871714</v>
      </c>
      <c r="C18" s="28" t="n">
        <f aca="false">MAX(0,B18-B17*(1-Premissas!$K$12))</f>
        <v>4</v>
      </c>
      <c r="D18" s="29" t="n">
        <f aca="false">B18*Premissas!$K$7*Premissas!$B$27</f>
        <v>187920.955486856</v>
      </c>
      <c r="E18" s="29" t="n">
        <f aca="false">C18*Premissas!$K$8*Premissas!$B$27</f>
        <v>6000</v>
      </c>
      <c r="F18" s="29" t="n">
        <f aca="false">D18+E18</f>
        <v>193920.955486856</v>
      </c>
      <c r="G18" s="29" t="n">
        <f aca="false">F18*Premissas!$K$14</f>
        <v>21331.3051035542</v>
      </c>
      <c r="H18" s="29" t="n">
        <f aca="false">F18*Premissas!$K$13</f>
        <v>96960.477743428</v>
      </c>
      <c r="I18" s="29" t="n">
        <f aca="false">F18-G18-H18</f>
        <v>75629.1726398738</v>
      </c>
      <c r="J18" s="29" t="n">
        <f aca="false">Premissas!$K$15+Premissas!$K$16</f>
        <v>43000</v>
      </c>
      <c r="K18" s="29" t="n">
        <f aca="false">I18-J18</f>
        <v>32629.1726398738</v>
      </c>
      <c r="L18" s="29" t="n">
        <f aca="false">K18</f>
        <v>32629.1726398738</v>
      </c>
      <c r="M18" s="29" t="n">
        <f aca="false">M17+L18</f>
        <v>-585164.459353818</v>
      </c>
      <c r="N18" s="27" t="n">
        <f aca="false">IF(M18&gt;=0,1,0)</f>
        <v>0</v>
      </c>
    </row>
    <row r="19" customFormat="false" ht="15" hidden="false" customHeight="false" outlineLevel="0" collapsed="false">
      <c r="A19" s="27" t="n">
        <f aca="false">A18+1</f>
        <v>14</v>
      </c>
      <c r="B19" s="28" t="n">
        <f aca="false">MIN(Premissas!$K$11,B18*(1-Premissas!$K$12)+IF(A19=1,Premissas!$K$9,Premissas!$K$10*Premissas!$B$26))</f>
        <v>50.0406340942797</v>
      </c>
      <c r="C19" s="28" t="n">
        <f aca="false">MAX(0,B19-B18*(1-Premissas!$K$12))</f>
        <v>4</v>
      </c>
      <c r="D19" s="29" t="n">
        <f aca="false">B19*Premissas!$K$7*Premissas!$B$27</f>
        <v>200162.536377119</v>
      </c>
      <c r="E19" s="29" t="n">
        <f aca="false">C19*Premissas!$K$8*Premissas!$B$27</f>
        <v>6000</v>
      </c>
      <c r="F19" s="29" t="n">
        <f aca="false">D19+E19</f>
        <v>206162.536377119</v>
      </c>
      <c r="G19" s="29" t="n">
        <f aca="false">F19*Premissas!$K$14</f>
        <v>22677.8790014831</v>
      </c>
      <c r="H19" s="29" t="n">
        <f aca="false">F19*Premissas!$K$13</f>
        <v>103081.268188559</v>
      </c>
      <c r="I19" s="29" t="n">
        <f aca="false">F19-G19-H19</f>
        <v>80403.3891870763</v>
      </c>
      <c r="J19" s="29" t="n">
        <f aca="false">Premissas!$K$15+Premissas!$K$16</f>
        <v>43000</v>
      </c>
      <c r="K19" s="29" t="n">
        <f aca="false">I19-J19</f>
        <v>37403.3891870763</v>
      </c>
      <c r="L19" s="29" t="n">
        <f aca="false">K19</f>
        <v>37403.3891870763</v>
      </c>
      <c r="M19" s="29" t="n">
        <f aca="false">M18+L19</f>
        <v>-547761.070166742</v>
      </c>
      <c r="N19" s="27" t="n">
        <f aca="false">IF(M19&gt;=0,1,0)</f>
        <v>0</v>
      </c>
    </row>
    <row r="20" customFormat="false" ht="15" hidden="false" customHeight="false" outlineLevel="0" collapsed="false">
      <c r="A20" s="27" t="n">
        <f aca="false">A19+1</f>
        <v>15</v>
      </c>
      <c r="B20" s="28" t="n">
        <f aca="false">MIN(Premissas!$K$11,B19*(1-Premissas!$K$12)+IF(A20=1,Premissas!$K$9,Premissas!$K$10*Premissas!$B$26))</f>
        <v>53.0398214123941</v>
      </c>
      <c r="C20" s="28" t="n">
        <f aca="false">MAX(0,B20-B19*(1-Premissas!$K$12))</f>
        <v>4</v>
      </c>
      <c r="D20" s="29" t="n">
        <f aca="false">B20*Premissas!$K$7*Premissas!$B$27</f>
        <v>212159.285649576</v>
      </c>
      <c r="E20" s="29" t="n">
        <f aca="false">C20*Premissas!$K$8*Premissas!$B$27</f>
        <v>6000</v>
      </c>
      <c r="F20" s="29" t="n">
        <f aca="false">D20+E20</f>
        <v>218159.285649576</v>
      </c>
      <c r="G20" s="29" t="n">
        <f aca="false">F20*Premissas!$K$14</f>
        <v>23997.5214214534</v>
      </c>
      <c r="H20" s="29" t="n">
        <f aca="false">F20*Premissas!$K$13</f>
        <v>109079.642824788</v>
      </c>
      <c r="I20" s="29" t="n">
        <f aca="false">F20-G20-H20</f>
        <v>85082.1214033348</v>
      </c>
      <c r="J20" s="29" t="n">
        <f aca="false">Premissas!$K$15+Premissas!$K$16</f>
        <v>43000</v>
      </c>
      <c r="K20" s="29" t="n">
        <f aca="false">I20-J20</f>
        <v>42082.1214033348</v>
      </c>
      <c r="L20" s="29" t="n">
        <f aca="false">K20</f>
        <v>42082.1214033348</v>
      </c>
      <c r="M20" s="29" t="n">
        <f aca="false">M19+L20</f>
        <v>-505678.948763407</v>
      </c>
      <c r="N20" s="27" t="n">
        <f aca="false">IF(M20&gt;=0,1,0)</f>
        <v>0</v>
      </c>
    </row>
    <row r="21" customFormat="false" ht="15" hidden="false" customHeight="false" outlineLevel="0" collapsed="false">
      <c r="A21" s="27" t="n">
        <f aca="false">A20+1</f>
        <v>16</v>
      </c>
      <c r="B21" s="28" t="n">
        <f aca="false">MIN(Premissas!$K$11,B20*(1-Premissas!$K$12)+IF(A21=1,Premissas!$K$9,Premissas!$K$10*Premissas!$B$26))</f>
        <v>55.9790249841462</v>
      </c>
      <c r="C21" s="28" t="n">
        <f aca="false">MAX(0,B21-B20*(1-Premissas!$K$12))</f>
        <v>4</v>
      </c>
      <c r="D21" s="29" t="n">
        <f aca="false">B21*Premissas!$K$7*Premissas!$B$27</f>
        <v>223916.099936585</v>
      </c>
      <c r="E21" s="29" t="n">
        <f aca="false">C21*Premissas!$K$8*Premissas!$B$27</f>
        <v>6000</v>
      </c>
      <c r="F21" s="29" t="n">
        <f aca="false">D21+E21</f>
        <v>229916.099936585</v>
      </c>
      <c r="G21" s="29" t="n">
        <f aca="false">F21*Premissas!$K$14</f>
        <v>25290.7709930243</v>
      </c>
      <c r="H21" s="29" t="n">
        <f aca="false">F21*Premissas!$K$13</f>
        <v>114958.049968292</v>
      </c>
      <c r="I21" s="29" t="n">
        <f aca="false">F21-G21-H21</f>
        <v>89667.2789752681</v>
      </c>
      <c r="J21" s="29" t="n">
        <f aca="false">Premissas!$K$15+Premissas!$K$16</f>
        <v>43000</v>
      </c>
      <c r="K21" s="29" t="n">
        <f aca="false">I21-J21</f>
        <v>46667.2789752681</v>
      </c>
      <c r="L21" s="29" t="n">
        <f aca="false">K21</f>
        <v>46667.2789752681</v>
      </c>
      <c r="M21" s="29" t="n">
        <f aca="false">M20+L21</f>
        <v>-459011.669788139</v>
      </c>
      <c r="N21" s="27" t="n">
        <f aca="false">IF(M21&gt;=0,1,0)</f>
        <v>0</v>
      </c>
    </row>
    <row r="22" customFormat="false" ht="15" hidden="false" customHeight="false" outlineLevel="0" collapsed="false">
      <c r="A22" s="27" t="n">
        <f aca="false">A21+1</f>
        <v>17</v>
      </c>
      <c r="B22" s="28" t="n">
        <f aca="false">MIN(Premissas!$K$11,B21*(1-Premissas!$K$12)+IF(A22=1,Premissas!$K$9,Premissas!$K$10*Premissas!$B$26))</f>
        <v>58.8594444844633</v>
      </c>
      <c r="C22" s="28" t="n">
        <f aca="false">MAX(0,B22-B21*(1-Premissas!$K$12))</f>
        <v>4</v>
      </c>
      <c r="D22" s="29" t="n">
        <f aca="false">B22*Premissas!$K$7*Premissas!$B$27</f>
        <v>235437.777937853</v>
      </c>
      <c r="E22" s="29" t="n">
        <f aca="false">C22*Premissas!$K$8*Premissas!$B$27</f>
        <v>6000</v>
      </c>
      <c r="F22" s="29" t="n">
        <f aca="false">D22+E22</f>
        <v>241437.777937853</v>
      </c>
      <c r="G22" s="29" t="n">
        <f aca="false">F22*Premissas!$K$14</f>
        <v>26558.1555731639</v>
      </c>
      <c r="H22" s="29" t="n">
        <f aca="false">F22*Premissas!$K$13</f>
        <v>120718.888968927</v>
      </c>
      <c r="I22" s="29" t="n">
        <f aca="false">F22-G22-H22</f>
        <v>94160.7333957628</v>
      </c>
      <c r="J22" s="29" t="n">
        <f aca="false">Premissas!$K$15+Premissas!$K$16</f>
        <v>43000</v>
      </c>
      <c r="K22" s="29" t="n">
        <f aca="false">I22-J22</f>
        <v>51160.7333957628</v>
      </c>
      <c r="L22" s="29" t="n">
        <f aca="false">K22</f>
        <v>51160.7333957628</v>
      </c>
      <c r="M22" s="29" t="n">
        <f aca="false">M21+L22</f>
        <v>-407850.936392376</v>
      </c>
      <c r="N22" s="27" t="n">
        <f aca="false">IF(M22&gt;=0,1,0)</f>
        <v>0</v>
      </c>
    </row>
    <row r="23" customFormat="false" ht="15" hidden="false" customHeight="false" outlineLevel="0" collapsed="false">
      <c r="A23" s="27" t="n">
        <f aca="false">A22+1</f>
        <v>18</v>
      </c>
      <c r="B23" s="28" t="n">
        <f aca="false">MIN(Premissas!$K$11,B22*(1-Premissas!$K$12)+IF(A23=1,Premissas!$K$9,Premissas!$K$10*Premissas!$B$26))</f>
        <v>61.682255594774</v>
      </c>
      <c r="C23" s="28" t="n">
        <f aca="false">MAX(0,B23-B22*(1-Premissas!$K$12))</f>
        <v>4</v>
      </c>
      <c r="D23" s="29" t="n">
        <f aca="false">B23*Premissas!$K$7*Premissas!$B$27</f>
        <v>246729.022379096</v>
      </c>
      <c r="E23" s="29" t="n">
        <f aca="false">C23*Premissas!$K$8*Premissas!$B$27</f>
        <v>6000</v>
      </c>
      <c r="F23" s="29" t="n">
        <f aca="false">D23+E23</f>
        <v>252729.022379096</v>
      </c>
      <c r="G23" s="29" t="n">
        <f aca="false">F23*Premissas!$K$14</f>
        <v>27800.1924617006</v>
      </c>
      <c r="H23" s="29" t="n">
        <f aca="false">F23*Premissas!$K$13</f>
        <v>126364.511189548</v>
      </c>
      <c r="I23" s="29" t="n">
        <f aca="false">F23-G23-H23</f>
        <v>98564.3187278475</v>
      </c>
      <c r="J23" s="29" t="n">
        <f aca="false">Premissas!$K$15+Premissas!$K$16</f>
        <v>43000</v>
      </c>
      <c r="K23" s="29" t="n">
        <f aca="false">I23-J23</f>
        <v>55564.3187278475</v>
      </c>
      <c r="L23" s="29" t="n">
        <f aca="false">K23</f>
        <v>55564.3187278475</v>
      </c>
      <c r="M23" s="29" t="n">
        <f aca="false">M22+L23</f>
        <v>-352286.617664528</v>
      </c>
      <c r="N23" s="27" t="n">
        <f aca="false">IF(M23&gt;=0,1,0)</f>
        <v>0</v>
      </c>
    </row>
    <row r="24" customFormat="false" ht="15" hidden="false" customHeight="false" outlineLevel="0" collapsed="false">
      <c r="A24" s="27" t="n">
        <f aca="false">A23+1</f>
        <v>19</v>
      </c>
      <c r="B24" s="28" t="n">
        <f aca="false">MIN(Premissas!$K$11,B23*(1-Premissas!$K$12)+IF(A24=1,Premissas!$K$9,Premissas!$K$10*Premissas!$B$26))</f>
        <v>64.4486104828786</v>
      </c>
      <c r="C24" s="28" t="n">
        <f aca="false">MAX(0,B24-B23*(1-Premissas!$K$12))</f>
        <v>4</v>
      </c>
      <c r="D24" s="29" t="n">
        <f aca="false">B24*Premissas!$K$7*Premissas!$B$27</f>
        <v>257794.441931514</v>
      </c>
      <c r="E24" s="29" t="n">
        <f aca="false">C24*Premissas!$K$8*Premissas!$B$27</f>
        <v>6000</v>
      </c>
      <c r="F24" s="29" t="n">
        <f aca="false">D24+E24</f>
        <v>263794.441931514</v>
      </c>
      <c r="G24" s="29" t="n">
        <f aca="false">F24*Premissas!$K$14</f>
        <v>29017.3886124666</v>
      </c>
      <c r="H24" s="29" t="n">
        <f aca="false">F24*Premissas!$K$13</f>
        <v>131897.220965757</v>
      </c>
      <c r="I24" s="29" t="n">
        <f aca="false">F24-G24-H24</f>
        <v>102879.832353291</v>
      </c>
      <c r="J24" s="29" t="n">
        <f aca="false">Premissas!$K$15+Premissas!$K$16</f>
        <v>43000</v>
      </c>
      <c r="K24" s="29" t="n">
        <f aca="false">I24-J24</f>
        <v>59879.8323532905</v>
      </c>
      <c r="L24" s="29" t="n">
        <f aca="false">K24</f>
        <v>59879.8323532905</v>
      </c>
      <c r="M24" s="29" t="n">
        <f aca="false">M23+L24</f>
        <v>-292406.785311238</v>
      </c>
      <c r="N24" s="27" t="n">
        <f aca="false">IF(M24&gt;=0,1,0)</f>
        <v>0</v>
      </c>
    </row>
    <row r="25" customFormat="false" ht="15" hidden="false" customHeight="false" outlineLevel="0" collapsed="false">
      <c r="A25" s="27" t="n">
        <f aca="false">A24+1</f>
        <v>20</v>
      </c>
      <c r="B25" s="28" t="n">
        <f aca="false">MIN(Premissas!$K$11,B24*(1-Premissas!$K$12)+IF(A25=1,Premissas!$K$9,Premissas!$K$10*Premissas!$B$26))</f>
        <v>67.159638273221</v>
      </c>
      <c r="C25" s="28" t="n">
        <f aca="false">MAX(0,B25-B24*(1-Premissas!$K$12))</f>
        <v>4</v>
      </c>
      <c r="D25" s="29" t="n">
        <f aca="false">B25*Premissas!$K$7*Premissas!$B$27</f>
        <v>268638.553092884</v>
      </c>
      <c r="E25" s="29" t="n">
        <f aca="false">C25*Premissas!$K$8*Premissas!$B$27</f>
        <v>6000</v>
      </c>
      <c r="F25" s="29" t="n">
        <f aca="false">D25+E25</f>
        <v>274638.553092884</v>
      </c>
      <c r="G25" s="29" t="n">
        <f aca="false">F25*Premissas!$K$14</f>
        <v>30210.2408402172</v>
      </c>
      <c r="H25" s="29" t="n">
        <f aca="false">F25*Premissas!$K$13</f>
        <v>137319.276546442</v>
      </c>
      <c r="I25" s="29" t="n">
        <f aca="false">F25-G25-H25</f>
        <v>107109.035706225</v>
      </c>
      <c r="J25" s="29" t="n">
        <f aca="false">Premissas!$K$15+Premissas!$K$16</f>
        <v>43000</v>
      </c>
      <c r="K25" s="29" t="n">
        <f aca="false">I25-J25</f>
        <v>64109.0357062247</v>
      </c>
      <c r="L25" s="29" t="n">
        <f aca="false">K25</f>
        <v>64109.0357062247</v>
      </c>
      <c r="M25" s="29" t="n">
        <f aca="false">M24+L25</f>
        <v>-228297.749605013</v>
      </c>
      <c r="N25" s="27" t="n">
        <f aca="false">IF(M25&gt;=0,1,0)</f>
        <v>0</v>
      </c>
    </row>
    <row r="26" customFormat="false" ht="15" hidden="false" customHeight="false" outlineLevel="0" collapsed="false">
      <c r="A26" s="27" t="n">
        <f aca="false">A25+1</f>
        <v>21</v>
      </c>
      <c r="B26" s="28" t="n">
        <f aca="false">MIN(Premissas!$K$11,B25*(1-Premissas!$K$12)+IF(A26=1,Premissas!$K$9,Premissas!$K$10*Premissas!$B$26))</f>
        <v>69.8164455077566</v>
      </c>
      <c r="C26" s="28" t="n">
        <f aca="false">MAX(0,B26-B25*(1-Premissas!$K$12))</f>
        <v>4</v>
      </c>
      <c r="D26" s="29" t="n">
        <f aca="false">B26*Premissas!$K$7*Premissas!$B$27</f>
        <v>279265.782031026</v>
      </c>
      <c r="E26" s="29" t="n">
        <f aca="false">C26*Premissas!$K$8*Premissas!$B$27</f>
        <v>6000</v>
      </c>
      <c r="F26" s="29" t="n">
        <f aca="false">D26+E26</f>
        <v>285265.782031026</v>
      </c>
      <c r="G26" s="29" t="n">
        <f aca="false">F26*Premissas!$K$14</f>
        <v>31379.2360234129</v>
      </c>
      <c r="H26" s="29" t="n">
        <f aca="false">F26*Premissas!$K$13</f>
        <v>142632.891015513</v>
      </c>
      <c r="I26" s="29" t="n">
        <f aca="false">F26-G26-H26</f>
        <v>111253.6549921</v>
      </c>
      <c r="J26" s="29" t="n">
        <f aca="false">Premissas!$K$15+Premissas!$K$16</f>
        <v>43000</v>
      </c>
      <c r="K26" s="29" t="n">
        <f aca="false">I26-J26</f>
        <v>68253.6549921002</v>
      </c>
      <c r="L26" s="29" t="n">
        <f aca="false">K26</f>
        <v>68253.6549921002</v>
      </c>
      <c r="M26" s="29" t="n">
        <f aca="false">M25+L26</f>
        <v>-160044.094612913</v>
      </c>
      <c r="N26" s="27" t="n">
        <f aca="false">IF(M26&gt;=0,1,0)</f>
        <v>0</v>
      </c>
    </row>
    <row r="27" customFormat="false" ht="15" hidden="false" customHeight="false" outlineLevel="0" collapsed="false">
      <c r="A27" s="27" t="n">
        <f aca="false">A26+1</f>
        <v>22</v>
      </c>
      <c r="B27" s="28" t="n">
        <f aca="false">MIN(Premissas!$K$11,B26*(1-Premissas!$K$12)+IF(A27=1,Premissas!$K$9,Premissas!$K$10*Premissas!$B$26))</f>
        <v>72.4201165976014</v>
      </c>
      <c r="C27" s="28" t="n">
        <f aca="false">MAX(0,B27-B26*(1-Premissas!$K$12))</f>
        <v>4</v>
      </c>
      <c r="D27" s="29" t="n">
        <f aca="false">B27*Premissas!$K$7*Premissas!$B$27</f>
        <v>289680.466390406</v>
      </c>
      <c r="E27" s="29" t="n">
        <f aca="false">C27*Premissas!$K$8*Premissas!$B$27</f>
        <v>6000</v>
      </c>
      <c r="F27" s="29" t="n">
        <f aca="false">D27+E27</f>
        <v>295680.466390406</v>
      </c>
      <c r="G27" s="29" t="n">
        <f aca="false">F27*Premissas!$K$14</f>
        <v>32524.8513029446</v>
      </c>
      <c r="H27" s="29" t="n">
        <f aca="false">F27*Premissas!$K$13</f>
        <v>147840.233195203</v>
      </c>
      <c r="I27" s="29" t="n">
        <f aca="false">F27-G27-H27</f>
        <v>115315.381892258</v>
      </c>
      <c r="J27" s="29" t="n">
        <f aca="false">Premissas!$K$15+Premissas!$K$16</f>
        <v>43000</v>
      </c>
      <c r="K27" s="29" t="n">
        <f aca="false">I27-J27</f>
        <v>72315.3818922582</v>
      </c>
      <c r="L27" s="29" t="n">
        <f aca="false">K27</f>
        <v>72315.3818922582</v>
      </c>
      <c r="M27" s="29" t="n">
        <f aca="false">M26+L27</f>
        <v>-87728.7127206547</v>
      </c>
      <c r="N27" s="27" t="n">
        <f aca="false">IF(M27&gt;=0,1,0)</f>
        <v>0</v>
      </c>
    </row>
    <row r="28" customFormat="false" ht="15" hidden="false" customHeight="false" outlineLevel="0" collapsed="false">
      <c r="A28" s="27" t="n">
        <f aca="false">A27+1</f>
        <v>23</v>
      </c>
      <c r="B28" s="28" t="n">
        <f aca="false">MIN(Premissas!$K$11,B27*(1-Premissas!$K$12)+IF(A28=1,Premissas!$K$9,Premissas!$K$10*Premissas!$B$26))</f>
        <v>74.9717142656494</v>
      </c>
      <c r="C28" s="28" t="n">
        <f aca="false">MAX(0,B28-B27*(1-Premissas!$K$12))</f>
        <v>4</v>
      </c>
      <c r="D28" s="29" t="n">
        <f aca="false">B28*Premissas!$K$7*Premissas!$B$27</f>
        <v>299886.857062598</v>
      </c>
      <c r="E28" s="29" t="n">
        <f aca="false">C28*Premissas!$K$8*Premissas!$B$27</f>
        <v>6000</v>
      </c>
      <c r="F28" s="29" t="n">
        <f aca="false">D28+E28</f>
        <v>305886.857062598</v>
      </c>
      <c r="G28" s="29" t="n">
        <f aca="false">F28*Premissas!$K$14</f>
        <v>33647.5542768857</v>
      </c>
      <c r="H28" s="29" t="n">
        <f aca="false">F28*Premissas!$K$13</f>
        <v>152943.428531299</v>
      </c>
      <c r="I28" s="29" t="n">
        <f aca="false">F28-G28-H28</f>
        <v>119295.874254413</v>
      </c>
      <c r="J28" s="29" t="n">
        <f aca="false">Premissas!$K$15+Premissas!$K$16</f>
        <v>43000</v>
      </c>
      <c r="K28" s="29" t="n">
        <f aca="false">I28-J28</f>
        <v>76295.874254413</v>
      </c>
      <c r="L28" s="29" t="n">
        <f aca="false">K28</f>
        <v>76295.874254413</v>
      </c>
      <c r="M28" s="29" t="n">
        <f aca="false">M27+L28</f>
        <v>-11432.8384662417</v>
      </c>
      <c r="N28" s="27" t="n">
        <f aca="false">IF(M28&gt;=0,1,0)</f>
        <v>0</v>
      </c>
    </row>
    <row r="29" customFormat="false" ht="15" hidden="false" customHeight="false" outlineLevel="0" collapsed="false">
      <c r="A29" s="31" t="n">
        <f aca="false">A28+1</f>
        <v>24</v>
      </c>
      <c r="B29" s="32" t="n">
        <f aca="false">MIN(Premissas!$K$11,B28*(1-Premissas!$K$12)+IF(A29=1,Premissas!$K$9,Premissas!$K$10*Premissas!$B$26))</f>
        <v>77.4722799803364</v>
      </c>
      <c r="C29" s="32" t="n">
        <f aca="false">MAX(0,B29-B28*(1-Premissas!$K$12))</f>
        <v>4</v>
      </c>
      <c r="D29" s="33" t="n">
        <f aca="false">B29*Premissas!$K$7*Premissas!$B$27</f>
        <v>309889.119921346</v>
      </c>
      <c r="E29" s="33" t="n">
        <f aca="false">C29*Premissas!$K$8*Premissas!$B$27</f>
        <v>6000</v>
      </c>
      <c r="F29" s="33" t="n">
        <f aca="false">D29+E29</f>
        <v>315889.119921346</v>
      </c>
      <c r="G29" s="33" t="n">
        <f aca="false">F29*Premissas!$K$14</f>
        <v>34747.803191348</v>
      </c>
      <c r="H29" s="33" t="n">
        <f aca="false">F29*Premissas!$K$13</f>
        <v>157944.559960673</v>
      </c>
      <c r="I29" s="33" t="n">
        <f aca="false">F29-G29-H29</f>
        <v>123196.756769325</v>
      </c>
      <c r="J29" s="33" t="n">
        <f aca="false">Premissas!$K$15+Premissas!$K$16</f>
        <v>43000</v>
      </c>
      <c r="K29" s="33" t="n">
        <f aca="false">I29-J29</f>
        <v>80196.7567693248</v>
      </c>
      <c r="L29" s="33" t="n">
        <f aca="false">K29</f>
        <v>80196.7567693248</v>
      </c>
      <c r="M29" s="33" t="n">
        <f aca="false">M28+L29</f>
        <v>68763.9183030831</v>
      </c>
      <c r="N29" s="31" t="n">
        <f aca="false">IF(M29&gt;=0,1,0)</f>
        <v>1</v>
      </c>
    </row>
    <row r="30" customFormat="false" ht="15" hidden="false" customHeight="false" outlineLevel="0" collapsed="false">
      <c r="A30" s="27" t="n">
        <f aca="false">A29+1</f>
        <v>25</v>
      </c>
      <c r="B30" s="28" t="n">
        <f aca="false">MIN(Premissas!$K$11,B29*(1-Premissas!$K$12)+IF(A30=1,Premissas!$K$9,Premissas!$K$10*Premissas!$B$26))</f>
        <v>79.9228343807297</v>
      </c>
      <c r="C30" s="28" t="n">
        <f aca="false">MAX(0,B30-B29*(1-Premissas!$K$12))</f>
        <v>4</v>
      </c>
      <c r="D30" s="29" t="n">
        <f aca="false">B30*Premissas!$K$7*Premissas!$B$27</f>
        <v>319691.337522919</v>
      </c>
      <c r="E30" s="29" t="n">
        <f aca="false">C30*Premissas!$K$8*Premissas!$B$27</f>
        <v>6000</v>
      </c>
      <c r="F30" s="29" t="n">
        <f aca="false">D30+E30</f>
        <v>325691.337522919</v>
      </c>
      <c r="G30" s="29" t="n">
        <f aca="false">F30*Premissas!$K$14</f>
        <v>35826.0471275211</v>
      </c>
      <c r="H30" s="29" t="n">
        <f aca="false">F30*Premissas!$K$13</f>
        <v>162845.668761459</v>
      </c>
      <c r="I30" s="29" t="n">
        <f aca="false">F30-G30-H30</f>
        <v>127019.621633938</v>
      </c>
      <c r="J30" s="29" t="n">
        <f aca="false">Premissas!$K$15+Premissas!$K$16</f>
        <v>43000</v>
      </c>
      <c r="K30" s="29" t="n">
        <f aca="false">I30-J30</f>
        <v>84019.6216339383</v>
      </c>
      <c r="L30" s="29" t="n">
        <f aca="false">K30</f>
        <v>84019.6216339383</v>
      </c>
      <c r="M30" s="29" t="n">
        <f aca="false">M29+L30</f>
        <v>152783.539937021</v>
      </c>
      <c r="N30" s="27" t="n">
        <f aca="false">IF(M30&gt;=0,1,0)</f>
        <v>1</v>
      </c>
    </row>
    <row r="31" customFormat="false" ht="15" hidden="false" customHeight="false" outlineLevel="0" collapsed="false">
      <c r="A31" s="27" t="n">
        <f aca="false">A30+1</f>
        <v>26</v>
      </c>
      <c r="B31" s="28" t="n">
        <f aca="false">MIN(Premissas!$K$11,B30*(1-Premissas!$K$12)+IF(A31=1,Premissas!$K$9,Premissas!$K$10*Premissas!$B$26))</f>
        <v>80</v>
      </c>
      <c r="C31" s="28" t="n">
        <f aca="false">MAX(0,B31-B30*(1-Premissas!$K$12))</f>
        <v>1.67562230688492</v>
      </c>
      <c r="D31" s="29" t="n">
        <f aca="false">B31*Premissas!$K$7*Premissas!$B$27</f>
        <v>320000</v>
      </c>
      <c r="E31" s="29" t="n">
        <f aca="false">C31*Premissas!$K$8*Premissas!$B$27</f>
        <v>2513.43346032738</v>
      </c>
      <c r="F31" s="29" t="n">
        <f aca="false">D31+E31</f>
        <v>322513.433460327</v>
      </c>
      <c r="G31" s="29" t="n">
        <f aca="false">F31*Premissas!$K$14</f>
        <v>35476.477680636</v>
      </c>
      <c r="H31" s="29" t="n">
        <f aca="false">F31*Premissas!$K$13</f>
        <v>161256.716730164</v>
      </c>
      <c r="I31" s="29" t="n">
        <f aca="false">F31-G31-H31</f>
        <v>125780.239049528</v>
      </c>
      <c r="J31" s="29" t="n">
        <f aca="false">Premissas!$K$15+Premissas!$K$16</f>
        <v>43000</v>
      </c>
      <c r="K31" s="29" t="n">
        <f aca="false">I31-J31</f>
        <v>82780.2390495277</v>
      </c>
      <c r="L31" s="29" t="n">
        <f aca="false">K31</f>
        <v>82780.2390495277</v>
      </c>
      <c r="M31" s="29" t="n">
        <f aca="false">M30+L31</f>
        <v>235563.778986549</v>
      </c>
      <c r="N31" s="27" t="n">
        <f aca="false">IF(M31&gt;=0,1,0)</f>
        <v>1</v>
      </c>
    </row>
    <row r="32" customFormat="false" ht="15" hidden="false" customHeight="false" outlineLevel="0" collapsed="false">
      <c r="A32" s="27" t="n">
        <f aca="false">A31+1</f>
        <v>27</v>
      </c>
      <c r="B32" s="28" t="n">
        <f aca="false">MIN(Premissas!$K$11,B31*(1-Premissas!$K$12)+IF(A32=1,Premissas!$K$9,Premissas!$K$10*Premissas!$B$26))</f>
        <v>80</v>
      </c>
      <c r="C32" s="28" t="n">
        <f aca="false">MAX(0,B32-B31*(1-Premissas!$K$12))</f>
        <v>1.59999999999999</v>
      </c>
      <c r="D32" s="29" t="n">
        <f aca="false">B32*Premissas!$K$7*Premissas!$B$27</f>
        <v>320000</v>
      </c>
      <c r="E32" s="29" t="n">
        <f aca="false">C32*Premissas!$K$8*Premissas!$B$27</f>
        <v>2399.99999999999</v>
      </c>
      <c r="F32" s="29" t="n">
        <f aca="false">D32+E32</f>
        <v>322400</v>
      </c>
      <c r="G32" s="29" t="n">
        <f aca="false">F32*Premissas!$K$14</f>
        <v>35464</v>
      </c>
      <c r="H32" s="29" t="n">
        <f aca="false">F32*Premissas!$K$13</f>
        <v>161200</v>
      </c>
      <c r="I32" s="29" t="n">
        <f aca="false">F32-G32-H32</f>
        <v>125736</v>
      </c>
      <c r="J32" s="29" t="n">
        <f aca="false">Premissas!$K$15+Premissas!$K$16</f>
        <v>43000</v>
      </c>
      <c r="K32" s="29" t="n">
        <f aca="false">I32-J32</f>
        <v>82736</v>
      </c>
      <c r="L32" s="29" t="n">
        <f aca="false">K32</f>
        <v>82736</v>
      </c>
      <c r="M32" s="29" t="n">
        <f aca="false">M31+L32</f>
        <v>318299.778986549</v>
      </c>
      <c r="N32" s="27" t="n">
        <f aca="false">IF(M32&gt;=0,1,0)</f>
        <v>1</v>
      </c>
    </row>
    <row r="33" customFormat="false" ht="15" hidden="false" customHeight="false" outlineLevel="0" collapsed="false">
      <c r="A33" s="27" t="n">
        <f aca="false">A32+1</f>
        <v>28</v>
      </c>
      <c r="B33" s="28" t="n">
        <f aca="false">MIN(Premissas!$K$11,B32*(1-Premissas!$K$12)+IF(A33=1,Premissas!$K$9,Premissas!$K$10*Premissas!$B$26))</f>
        <v>80</v>
      </c>
      <c r="C33" s="28" t="n">
        <f aca="false">MAX(0,B33-B32*(1-Premissas!$K$12))</f>
        <v>1.59999999999999</v>
      </c>
      <c r="D33" s="29" t="n">
        <f aca="false">B33*Premissas!$K$7*Premissas!$B$27</f>
        <v>320000</v>
      </c>
      <c r="E33" s="29" t="n">
        <f aca="false">C33*Premissas!$K$8*Premissas!$B$27</f>
        <v>2399.99999999999</v>
      </c>
      <c r="F33" s="29" t="n">
        <f aca="false">D33+E33</f>
        <v>322400</v>
      </c>
      <c r="G33" s="29" t="n">
        <f aca="false">F33*Premissas!$K$14</f>
        <v>35464</v>
      </c>
      <c r="H33" s="29" t="n">
        <f aca="false">F33*Premissas!$K$13</f>
        <v>161200</v>
      </c>
      <c r="I33" s="29" t="n">
        <f aca="false">F33-G33-H33</f>
        <v>125736</v>
      </c>
      <c r="J33" s="29" t="n">
        <f aca="false">Premissas!$K$15+Premissas!$K$16</f>
        <v>43000</v>
      </c>
      <c r="K33" s="29" t="n">
        <f aca="false">I33-J33</f>
        <v>82736</v>
      </c>
      <c r="L33" s="29" t="n">
        <f aca="false">K33</f>
        <v>82736</v>
      </c>
      <c r="M33" s="29" t="n">
        <f aca="false">M32+L33</f>
        <v>401035.778986549</v>
      </c>
      <c r="N33" s="27" t="n">
        <f aca="false">IF(M33&gt;=0,1,0)</f>
        <v>1</v>
      </c>
    </row>
    <row r="34" customFormat="false" ht="15" hidden="false" customHeight="false" outlineLevel="0" collapsed="false">
      <c r="A34" s="27" t="n">
        <f aca="false">A33+1</f>
        <v>29</v>
      </c>
      <c r="B34" s="28" t="n">
        <f aca="false">MIN(Premissas!$K$11,B33*(1-Premissas!$K$12)+IF(A34=1,Premissas!$K$9,Premissas!$K$10*Premissas!$B$26))</f>
        <v>80</v>
      </c>
      <c r="C34" s="28" t="n">
        <f aca="false">MAX(0,B34-B33*(1-Premissas!$K$12))</f>
        <v>1.59999999999999</v>
      </c>
      <c r="D34" s="29" t="n">
        <f aca="false">B34*Premissas!$K$7*Premissas!$B$27</f>
        <v>320000</v>
      </c>
      <c r="E34" s="29" t="n">
        <f aca="false">C34*Premissas!$K$8*Premissas!$B$27</f>
        <v>2399.99999999999</v>
      </c>
      <c r="F34" s="29" t="n">
        <f aca="false">D34+E34</f>
        <v>322400</v>
      </c>
      <c r="G34" s="29" t="n">
        <f aca="false">F34*Premissas!$K$14</f>
        <v>35464</v>
      </c>
      <c r="H34" s="29" t="n">
        <f aca="false">F34*Premissas!$K$13</f>
        <v>161200</v>
      </c>
      <c r="I34" s="29" t="n">
        <f aca="false">F34-G34-H34</f>
        <v>125736</v>
      </c>
      <c r="J34" s="29" t="n">
        <f aca="false">Premissas!$K$15+Premissas!$K$16</f>
        <v>43000</v>
      </c>
      <c r="K34" s="29" t="n">
        <f aca="false">I34-J34</f>
        <v>82736</v>
      </c>
      <c r="L34" s="29" t="n">
        <f aca="false">K34</f>
        <v>82736</v>
      </c>
      <c r="M34" s="29" t="n">
        <f aca="false">M33+L34</f>
        <v>483771.778986549</v>
      </c>
      <c r="N34" s="27" t="n">
        <f aca="false">IF(M34&gt;=0,1,0)</f>
        <v>1</v>
      </c>
    </row>
    <row r="35" customFormat="false" ht="15" hidden="false" customHeight="false" outlineLevel="0" collapsed="false">
      <c r="A35" s="27" t="n">
        <f aca="false">A34+1</f>
        <v>30</v>
      </c>
      <c r="B35" s="28" t="n">
        <f aca="false">MIN(Premissas!$K$11,B34*(1-Premissas!$K$12)+IF(A35=1,Premissas!$K$9,Premissas!$K$10*Premissas!$B$26))</f>
        <v>80</v>
      </c>
      <c r="C35" s="28" t="n">
        <f aca="false">MAX(0,B35-B34*(1-Premissas!$K$12))</f>
        <v>1.59999999999999</v>
      </c>
      <c r="D35" s="29" t="n">
        <f aca="false">B35*Premissas!$K$7*Premissas!$B$27</f>
        <v>320000</v>
      </c>
      <c r="E35" s="29" t="n">
        <f aca="false">C35*Premissas!$K$8*Premissas!$B$27</f>
        <v>2399.99999999999</v>
      </c>
      <c r="F35" s="29" t="n">
        <f aca="false">D35+E35</f>
        <v>322400</v>
      </c>
      <c r="G35" s="29" t="n">
        <f aca="false">F35*Premissas!$K$14</f>
        <v>35464</v>
      </c>
      <c r="H35" s="29" t="n">
        <f aca="false">F35*Premissas!$K$13</f>
        <v>161200</v>
      </c>
      <c r="I35" s="29" t="n">
        <f aca="false">F35-G35-H35</f>
        <v>125736</v>
      </c>
      <c r="J35" s="29" t="n">
        <f aca="false">Premissas!$K$15+Premissas!$K$16</f>
        <v>43000</v>
      </c>
      <c r="K35" s="29" t="n">
        <f aca="false">I35-J35</f>
        <v>82736</v>
      </c>
      <c r="L35" s="29" t="n">
        <f aca="false">K35</f>
        <v>82736</v>
      </c>
      <c r="M35" s="29" t="n">
        <f aca="false">M34+L35</f>
        <v>566507.778986549</v>
      </c>
      <c r="N35" s="27" t="n">
        <f aca="false">IF(M35&gt;=0,1,0)</f>
        <v>1</v>
      </c>
    </row>
    <row r="36" customFormat="false" ht="15" hidden="false" customHeight="false" outlineLevel="0" collapsed="false">
      <c r="A36" s="27" t="n">
        <f aca="false">A35+1</f>
        <v>31</v>
      </c>
      <c r="B36" s="28" t="n">
        <f aca="false">MIN(Premissas!$K$11,B35*(1-Premissas!$K$12)+IF(A36=1,Premissas!$K$9,Premissas!$K$10*Premissas!$B$26))</f>
        <v>80</v>
      </c>
      <c r="C36" s="28" t="n">
        <f aca="false">MAX(0,B36-B35*(1-Premissas!$K$12))</f>
        <v>1.59999999999999</v>
      </c>
      <c r="D36" s="29" t="n">
        <f aca="false">B36*Premissas!$K$7*Premissas!$B$27</f>
        <v>320000</v>
      </c>
      <c r="E36" s="29" t="n">
        <f aca="false">C36*Premissas!$K$8*Premissas!$B$27</f>
        <v>2399.99999999999</v>
      </c>
      <c r="F36" s="29" t="n">
        <f aca="false">D36+E36</f>
        <v>322400</v>
      </c>
      <c r="G36" s="29" t="n">
        <f aca="false">F36*Premissas!$K$14</f>
        <v>35464</v>
      </c>
      <c r="H36" s="29" t="n">
        <f aca="false">F36*Premissas!$K$13</f>
        <v>161200</v>
      </c>
      <c r="I36" s="29" t="n">
        <f aca="false">F36-G36-H36</f>
        <v>125736</v>
      </c>
      <c r="J36" s="29" t="n">
        <f aca="false">Premissas!$K$15+Premissas!$K$16</f>
        <v>43000</v>
      </c>
      <c r="K36" s="29" t="n">
        <f aca="false">I36-J36</f>
        <v>82736</v>
      </c>
      <c r="L36" s="29" t="n">
        <f aca="false">K36</f>
        <v>82736</v>
      </c>
      <c r="M36" s="29" t="n">
        <f aca="false">M35+L36</f>
        <v>649243.778986549</v>
      </c>
      <c r="N36" s="27" t="n">
        <f aca="false">IF(M36&gt;=0,1,0)</f>
        <v>1</v>
      </c>
    </row>
    <row r="37" customFormat="false" ht="15" hidden="false" customHeight="false" outlineLevel="0" collapsed="false">
      <c r="A37" s="27" t="n">
        <f aca="false">A36+1</f>
        <v>32</v>
      </c>
      <c r="B37" s="28" t="n">
        <f aca="false">MIN(Premissas!$K$11,B36*(1-Premissas!$K$12)+IF(A37=1,Premissas!$K$9,Premissas!$K$10*Premissas!$B$26))</f>
        <v>80</v>
      </c>
      <c r="C37" s="28" t="n">
        <f aca="false">MAX(0,B37-B36*(1-Premissas!$K$12))</f>
        <v>1.59999999999999</v>
      </c>
      <c r="D37" s="29" t="n">
        <f aca="false">B37*Premissas!$K$7*Premissas!$B$27</f>
        <v>320000</v>
      </c>
      <c r="E37" s="29" t="n">
        <f aca="false">C37*Premissas!$K$8*Premissas!$B$27</f>
        <v>2399.99999999999</v>
      </c>
      <c r="F37" s="29" t="n">
        <f aca="false">D37+E37</f>
        <v>322400</v>
      </c>
      <c r="G37" s="29" t="n">
        <f aca="false">F37*Premissas!$K$14</f>
        <v>35464</v>
      </c>
      <c r="H37" s="29" t="n">
        <f aca="false">F37*Premissas!$K$13</f>
        <v>161200</v>
      </c>
      <c r="I37" s="29" t="n">
        <f aca="false">F37-G37-H37</f>
        <v>125736</v>
      </c>
      <c r="J37" s="29" t="n">
        <f aca="false">Premissas!$K$15+Premissas!$K$16</f>
        <v>43000</v>
      </c>
      <c r="K37" s="29" t="n">
        <f aca="false">I37-J37</f>
        <v>82736</v>
      </c>
      <c r="L37" s="29" t="n">
        <f aca="false">K37</f>
        <v>82736</v>
      </c>
      <c r="M37" s="29" t="n">
        <f aca="false">M36+L37</f>
        <v>731979.778986549</v>
      </c>
      <c r="N37" s="27" t="n">
        <f aca="false">IF(M37&gt;=0,1,0)</f>
        <v>1</v>
      </c>
    </row>
    <row r="38" customFormat="false" ht="15" hidden="false" customHeight="false" outlineLevel="0" collapsed="false">
      <c r="A38" s="27" t="n">
        <f aca="false">A37+1</f>
        <v>33</v>
      </c>
      <c r="B38" s="28" t="n">
        <f aca="false">MIN(Premissas!$K$11,B37*(1-Premissas!$K$12)+IF(A38=1,Premissas!$K$9,Premissas!$K$10*Premissas!$B$26))</f>
        <v>80</v>
      </c>
      <c r="C38" s="28" t="n">
        <f aca="false">MAX(0,B38-B37*(1-Premissas!$K$12))</f>
        <v>1.59999999999999</v>
      </c>
      <c r="D38" s="29" t="n">
        <f aca="false">B38*Premissas!$K$7*Premissas!$B$27</f>
        <v>320000</v>
      </c>
      <c r="E38" s="29" t="n">
        <f aca="false">C38*Premissas!$K$8*Premissas!$B$27</f>
        <v>2399.99999999999</v>
      </c>
      <c r="F38" s="29" t="n">
        <f aca="false">D38+E38</f>
        <v>322400</v>
      </c>
      <c r="G38" s="29" t="n">
        <f aca="false">F38*Premissas!$K$14</f>
        <v>35464</v>
      </c>
      <c r="H38" s="29" t="n">
        <f aca="false">F38*Premissas!$K$13</f>
        <v>161200</v>
      </c>
      <c r="I38" s="29" t="n">
        <f aca="false">F38-G38-H38</f>
        <v>125736</v>
      </c>
      <c r="J38" s="29" t="n">
        <f aca="false">Premissas!$K$15+Premissas!$K$16</f>
        <v>43000</v>
      </c>
      <c r="K38" s="29" t="n">
        <f aca="false">I38-J38</f>
        <v>82736</v>
      </c>
      <c r="L38" s="29" t="n">
        <f aca="false">K38</f>
        <v>82736</v>
      </c>
      <c r="M38" s="29" t="n">
        <f aca="false">M37+L38</f>
        <v>814715.778986549</v>
      </c>
      <c r="N38" s="27" t="n">
        <f aca="false">IF(M38&gt;=0,1,0)</f>
        <v>1</v>
      </c>
    </row>
    <row r="39" customFormat="false" ht="15" hidden="false" customHeight="false" outlineLevel="0" collapsed="false">
      <c r="A39" s="27" t="n">
        <f aca="false">A38+1</f>
        <v>34</v>
      </c>
      <c r="B39" s="28" t="n">
        <f aca="false">MIN(Premissas!$K$11,B38*(1-Premissas!$K$12)+IF(A39=1,Premissas!$K$9,Premissas!$K$10*Premissas!$B$26))</f>
        <v>80</v>
      </c>
      <c r="C39" s="28" t="n">
        <f aca="false">MAX(0,B39-B38*(1-Premissas!$K$12))</f>
        <v>1.59999999999999</v>
      </c>
      <c r="D39" s="29" t="n">
        <f aca="false">B39*Premissas!$K$7*Premissas!$B$27</f>
        <v>320000</v>
      </c>
      <c r="E39" s="29" t="n">
        <f aca="false">C39*Premissas!$K$8*Premissas!$B$27</f>
        <v>2399.99999999999</v>
      </c>
      <c r="F39" s="29" t="n">
        <f aca="false">D39+E39</f>
        <v>322400</v>
      </c>
      <c r="G39" s="29" t="n">
        <f aca="false">F39*Premissas!$K$14</f>
        <v>35464</v>
      </c>
      <c r="H39" s="29" t="n">
        <f aca="false">F39*Premissas!$K$13</f>
        <v>161200</v>
      </c>
      <c r="I39" s="29" t="n">
        <f aca="false">F39-G39-H39</f>
        <v>125736</v>
      </c>
      <c r="J39" s="29" t="n">
        <f aca="false">Premissas!$K$15+Premissas!$K$16</f>
        <v>43000</v>
      </c>
      <c r="K39" s="29" t="n">
        <f aca="false">I39-J39</f>
        <v>82736</v>
      </c>
      <c r="L39" s="29" t="n">
        <f aca="false">K39</f>
        <v>82736</v>
      </c>
      <c r="M39" s="29" t="n">
        <f aca="false">M38+L39</f>
        <v>897451.778986549</v>
      </c>
      <c r="N39" s="27" t="n">
        <f aca="false">IF(M39&gt;=0,1,0)</f>
        <v>1</v>
      </c>
    </row>
    <row r="40" customFormat="false" ht="15" hidden="false" customHeight="false" outlineLevel="0" collapsed="false">
      <c r="A40" s="27" t="n">
        <f aca="false">A39+1</f>
        <v>35</v>
      </c>
      <c r="B40" s="28" t="n">
        <f aca="false">MIN(Premissas!$K$11,B39*(1-Premissas!$K$12)+IF(A40=1,Premissas!$K$9,Premissas!$K$10*Premissas!$B$26))</f>
        <v>80</v>
      </c>
      <c r="C40" s="28" t="n">
        <f aca="false">MAX(0,B40-B39*(1-Premissas!$K$12))</f>
        <v>1.59999999999999</v>
      </c>
      <c r="D40" s="29" t="n">
        <f aca="false">B40*Premissas!$K$7*Premissas!$B$27</f>
        <v>320000</v>
      </c>
      <c r="E40" s="29" t="n">
        <f aca="false">C40*Premissas!$K$8*Premissas!$B$27</f>
        <v>2399.99999999999</v>
      </c>
      <c r="F40" s="29" t="n">
        <f aca="false">D40+E40</f>
        <v>322400</v>
      </c>
      <c r="G40" s="29" t="n">
        <f aca="false">F40*Premissas!$K$14</f>
        <v>35464</v>
      </c>
      <c r="H40" s="29" t="n">
        <f aca="false">F40*Premissas!$K$13</f>
        <v>161200</v>
      </c>
      <c r="I40" s="29" t="n">
        <f aca="false">F40-G40-H40</f>
        <v>125736</v>
      </c>
      <c r="J40" s="29" t="n">
        <f aca="false">Premissas!$K$15+Premissas!$K$16</f>
        <v>43000</v>
      </c>
      <c r="K40" s="29" t="n">
        <f aca="false">I40-J40</f>
        <v>82736</v>
      </c>
      <c r="L40" s="29" t="n">
        <f aca="false">K40</f>
        <v>82736</v>
      </c>
      <c r="M40" s="29" t="n">
        <f aca="false">M39+L40</f>
        <v>980187.778986549</v>
      </c>
      <c r="N40" s="27" t="n">
        <f aca="false">IF(M40&gt;=0,1,0)</f>
        <v>1</v>
      </c>
    </row>
    <row r="41" customFormat="false" ht="15" hidden="false" customHeight="false" outlineLevel="0" collapsed="false">
      <c r="A41" s="31" t="n">
        <f aca="false">A40+1</f>
        <v>36</v>
      </c>
      <c r="B41" s="32" t="n">
        <f aca="false">MIN(Premissas!$K$11,B40*(1-Premissas!$K$12)+IF(A41=1,Premissas!$K$9,Premissas!$K$10*Premissas!$B$26))</f>
        <v>80</v>
      </c>
      <c r="C41" s="32" t="n">
        <f aca="false">MAX(0,B41-B40*(1-Premissas!$K$12))</f>
        <v>1.59999999999999</v>
      </c>
      <c r="D41" s="33" t="n">
        <f aca="false">B41*Premissas!$K$7*Premissas!$B$27</f>
        <v>320000</v>
      </c>
      <c r="E41" s="33" t="n">
        <f aca="false">C41*Premissas!$K$8*Premissas!$B$27</f>
        <v>2399.99999999999</v>
      </c>
      <c r="F41" s="33" t="n">
        <f aca="false">D41+E41</f>
        <v>322400</v>
      </c>
      <c r="G41" s="33" t="n">
        <f aca="false">F41*Premissas!$K$14</f>
        <v>35464</v>
      </c>
      <c r="H41" s="33" t="n">
        <f aca="false">F41*Premissas!$K$13</f>
        <v>161200</v>
      </c>
      <c r="I41" s="33" t="n">
        <f aca="false">F41-G41-H41</f>
        <v>125736</v>
      </c>
      <c r="J41" s="33" t="n">
        <f aca="false">Premissas!$K$15+Premissas!$K$16</f>
        <v>43000</v>
      </c>
      <c r="K41" s="33" t="n">
        <f aca="false">I41-J41</f>
        <v>82736</v>
      </c>
      <c r="L41" s="33" t="n">
        <f aca="false">K41</f>
        <v>82736</v>
      </c>
      <c r="M41" s="33" t="n">
        <f aca="false">M40+L41</f>
        <v>1062923.77898655</v>
      </c>
      <c r="N41" s="31" t="n">
        <f aca="false">IF(M41&gt;=0,1,0)</f>
        <v>1</v>
      </c>
    </row>
    <row r="43" customFormat="false" ht="15" hidden="false" customHeight="false" outlineLevel="0" collapsed="false">
      <c r="A43" s="15" t="s">
        <v>147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8"/>
    <col collapsed="false" customWidth="true" hidden="false" outlineLevel="0" max="3" min="3" style="0" width="26"/>
    <col collapsed="false" customWidth="true" hidden="false" outlineLevel="0" max="4" min="4" style="0" width="11"/>
    <col collapsed="false" customWidth="true" hidden="false" outlineLevel="0" max="5" min="5" style="0" width="12"/>
    <col collapsed="false" customWidth="true" hidden="false" outlineLevel="0" max="6" min="6" style="0" width="16"/>
    <col collapsed="false" customWidth="true" hidden="false" outlineLevel="0" max="7" min="7" style="0" width="14"/>
    <col collapsed="false" customWidth="true" hidden="false" outlineLevel="0" max="8" min="8" style="0" width="42"/>
    <col collapsed="false" customWidth="true" hidden="false" outlineLevel="0" max="9" min="9" style="0" width="12"/>
    <col collapsed="false" customWidth="true" hidden="false" outlineLevel="0" max="10" min="10" style="0" width="3"/>
    <col collapsed="false" customWidth="true" hidden="false" outlineLevel="0" max="11" min="11" style="0" width="30"/>
    <col collapsed="false" customWidth="true" hidden="false" outlineLevel="0" max="12" min="12" style="0" width="13"/>
    <col collapsed="false" customWidth="true" hidden="false" outlineLevel="0" max="13" min="13" style="0" width="11"/>
    <col collapsed="false" customWidth="true" hidden="false" outlineLevel="0" max="14" min="14" style="0" width="16"/>
    <col collapsed="false" customWidth="true" hidden="false" outlineLevel="0" max="15" min="15" style="0" width="14"/>
    <col collapsed="false" customWidth="true" hidden="false" outlineLevel="0" max="16" min="16" style="0" width="3"/>
    <col collapsed="false" customWidth="true" hidden="false" outlineLevel="0" max="17" min="17" style="0" width="30"/>
  </cols>
  <sheetData>
    <row r="1" customFormat="false" ht="17.35" hidden="false" customHeight="false" outlineLevel="0" collapsed="false">
      <c r="A1" s="1" t="s">
        <v>157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 t="s">
        <v>158</v>
      </c>
    </row>
    <row r="2" customFormat="false" ht="15" hidden="false" customHeight="false" outlineLevel="0" collapsed="false">
      <c r="A2" s="15" t="s">
        <v>159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 t="s">
        <v>35</v>
      </c>
    </row>
    <row r="3" customFormat="false" ht="15" hidden="false" customHeight="false" outlineLevel="0" collapsed="false">
      <c r="A3" s="16"/>
      <c r="B3" s="16"/>
      <c r="C3" s="16"/>
      <c r="D3" s="16"/>
      <c r="E3" s="16"/>
      <c r="F3" s="16"/>
      <c r="G3" s="16"/>
      <c r="H3" s="16"/>
      <c r="I3" s="16"/>
      <c r="J3" s="16"/>
      <c r="K3" s="2" t="s">
        <v>160</v>
      </c>
      <c r="L3" s="16"/>
      <c r="M3" s="16"/>
      <c r="N3" s="16"/>
      <c r="O3" s="16"/>
      <c r="P3" s="16"/>
      <c r="Q3" s="16" t="s">
        <v>36</v>
      </c>
    </row>
    <row r="4" customFormat="false" ht="31.5" hidden="false" customHeight="true" outlineLevel="0" collapsed="false">
      <c r="A4" s="6" t="s">
        <v>161</v>
      </c>
      <c r="B4" s="6" t="s">
        <v>162</v>
      </c>
      <c r="C4" s="6" t="s">
        <v>163</v>
      </c>
      <c r="D4" s="6" t="s">
        <v>164</v>
      </c>
      <c r="E4" s="6" t="s">
        <v>165</v>
      </c>
      <c r="F4" s="6" t="s">
        <v>166</v>
      </c>
      <c r="G4" s="6" t="s">
        <v>167</v>
      </c>
      <c r="H4" s="6" t="s">
        <v>168</v>
      </c>
      <c r="I4" s="6" t="s">
        <v>169</v>
      </c>
      <c r="J4" s="16"/>
      <c r="K4" s="34" t="s">
        <v>161</v>
      </c>
      <c r="L4" s="34" t="s">
        <v>170</v>
      </c>
      <c r="M4" s="34" t="s">
        <v>171</v>
      </c>
      <c r="N4" s="34" t="s">
        <v>172</v>
      </c>
      <c r="O4" s="34" t="s">
        <v>173</v>
      </c>
      <c r="P4" s="16"/>
      <c r="Q4" s="16" t="s">
        <v>37</v>
      </c>
    </row>
    <row r="5" customFormat="false" ht="15" hidden="false" customHeight="false" outlineLevel="0" collapsed="false">
      <c r="A5" s="35" t="s">
        <v>35</v>
      </c>
      <c r="B5" s="35" t="s">
        <v>174</v>
      </c>
      <c r="C5" s="35" t="s">
        <v>175</v>
      </c>
      <c r="D5" s="35" t="n">
        <v>4.3</v>
      </c>
      <c r="E5" s="35" t="n">
        <v>27</v>
      </c>
      <c r="F5" s="36" t="n">
        <v>1800</v>
      </c>
      <c r="G5" s="35" t="n">
        <v>10</v>
      </c>
      <c r="H5" s="35" t="s">
        <v>176</v>
      </c>
      <c r="I5" s="35" t="s">
        <v>177</v>
      </c>
      <c r="J5" s="16"/>
      <c r="K5" s="16" t="s">
        <v>35</v>
      </c>
      <c r="L5" s="16" t="n">
        <f aca="false">COUNTIF($A$5:$A$300,K5)</f>
        <v>1</v>
      </c>
      <c r="M5" s="37" t="n">
        <f aca="false">IFERROR(AVERAGEIF($A$5:$A$300,K5,$D$5:$D$300),"-")</f>
        <v>4.3</v>
      </c>
      <c r="N5" s="38" t="n">
        <f aca="false">IFERROR(AVERAGEIF($A$5:$A$300,K5,$F$5:$F$300),"-")</f>
        <v>1800</v>
      </c>
      <c r="O5" s="37" t="n">
        <f aca="false">IFERROR(AVERAGEIF($A$5:$A$300,K5,$G$5:$G$300),"-")</f>
        <v>10</v>
      </c>
      <c r="P5" s="16"/>
      <c r="Q5" s="16" t="s">
        <v>38</v>
      </c>
    </row>
    <row r="6" customFormat="false" ht="15" hidden="false" customHeight="false" outlineLevel="0" collapsed="false">
      <c r="A6" s="16"/>
      <c r="B6" s="16"/>
      <c r="C6" s="16"/>
      <c r="D6" s="16"/>
      <c r="E6" s="16"/>
      <c r="F6" s="16"/>
      <c r="G6" s="16"/>
      <c r="H6" s="16"/>
      <c r="I6" s="16"/>
      <c r="J6" s="16"/>
      <c r="K6" s="16" t="s">
        <v>36</v>
      </c>
      <c r="L6" s="16" t="n">
        <f aca="false">COUNTIF($A$5:$A$300,K6)</f>
        <v>0</v>
      </c>
      <c r="M6" s="37" t="str">
        <f aca="false">IFERROR(AVERAGEIF($A$5:$A$300,K6,$D$5:$D$300),"-")</f>
        <v>-</v>
      </c>
      <c r="N6" s="38" t="str">
        <f aca="false">IFERROR(AVERAGEIF($A$5:$A$300,K6,$F$5:$F$300),"-")</f>
        <v>-</v>
      </c>
      <c r="O6" s="37" t="str">
        <f aca="false">IFERROR(AVERAGEIF($A$5:$A$300,K6,$G$5:$G$300),"-")</f>
        <v>-</v>
      </c>
      <c r="P6" s="16"/>
      <c r="Q6" s="16" t="s">
        <v>39</v>
      </c>
    </row>
    <row r="7" customFormat="false" ht="15" hidden="false" customHeight="false" outlineLevel="0" collapsed="false">
      <c r="A7" s="16"/>
      <c r="B7" s="16"/>
      <c r="C7" s="16"/>
      <c r="D7" s="16"/>
      <c r="E7" s="16"/>
      <c r="F7" s="16"/>
      <c r="G7" s="16"/>
      <c r="H7" s="16"/>
      <c r="I7" s="16"/>
      <c r="J7" s="16"/>
      <c r="K7" s="16" t="s">
        <v>37</v>
      </c>
      <c r="L7" s="16" t="n">
        <f aca="false">COUNTIF($A$5:$A$300,K7)</f>
        <v>0</v>
      </c>
      <c r="M7" s="37" t="str">
        <f aca="false">IFERROR(AVERAGEIF($A$5:$A$300,K7,$D$5:$D$300),"-")</f>
        <v>-</v>
      </c>
      <c r="N7" s="38" t="str">
        <f aca="false">IFERROR(AVERAGEIF($A$5:$A$300,K7,$F$5:$F$300),"-")</f>
        <v>-</v>
      </c>
      <c r="O7" s="37" t="str">
        <f aca="false">IFERROR(AVERAGEIF($A$5:$A$300,K7,$G$5:$G$300),"-")</f>
        <v>-</v>
      </c>
      <c r="P7" s="16"/>
      <c r="Q7" s="16" t="s">
        <v>40</v>
      </c>
    </row>
    <row r="8" customFormat="false" ht="15" hidden="false" customHeight="false" outlineLevel="0" collapsed="false">
      <c r="A8" s="16"/>
      <c r="B8" s="16"/>
      <c r="C8" s="16"/>
      <c r="D8" s="16"/>
      <c r="E8" s="16"/>
      <c r="F8" s="16"/>
      <c r="G8" s="16"/>
      <c r="H8" s="16"/>
      <c r="I8" s="16"/>
      <c r="J8" s="16"/>
      <c r="K8" s="16" t="s">
        <v>38</v>
      </c>
      <c r="L8" s="16" t="n">
        <f aca="false">COUNTIF($A$5:$A$300,K8)</f>
        <v>0</v>
      </c>
      <c r="M8" s="37" t="str">
        <f aca="false">IFERROR(AVERAGEIF($A$5:$A$300,K8,$D$5:$D$300),"-")</f>
        <v>-</v>
      </c>
      <c r="N8" s="38" t="str">
        <f aca="false">IFERROR(AVERAGEIF($A$5:$A$300,K8,$F$5:$F$300),"-")</f>
        <v>-</v>
      </c>
      <c r="O8" s="37" t="str">
        <f aca="false">IFERROR(AVERAGEIF($A$5:$A$300,K8,$G$5:$G$300),"-")</f>
        <v>-</v>
      </c>
      <c r="P8" s="16"/>
      <c r="Q8" s="16" t="s">
        <v>41</v>
      </c>
    </row>
    <row r="9" customFormat="false" ht="15" hidden="false" customHeight="false" outlineLevel="0" collapsed="false">
      <c r="A9" s="16"/>
      <c r="B9" s="16"/>
      <c r="C9" s="16"/>
      <c r="D9" s="16"/>
      <c r="E9" s="16"/>
      <c r="F9" s="16"/>
      <c r="G9" s="16"/>
      <c r="H9" s="16"/>
      <c r="I9" s="16"/>
      <c r="J9" s="16"/>
      <c r="K9" s="16" t="s">
        <v>39</v>
      </c>
      <c r="L9" s="16" t="n">
        <f aca="false">COUNTIF($A$5:$A$300,K9)</f>
        <v>0</v>
      </c>
      <c r="M9" s="37" t="str">
        <f aca="false">IFERROR(AVERAGEIF($A$5:$A$300,K9,$D$5:$D$300),"-")</f>
        <v>-</v>
      </c>
      <c r="N9" s="38" t="str">
        <f aca="false">IFERROR(AVERAGEIF($A$5:$A$300,K9,$F$5:$F$300),"-")</f>
        <v>-</v>
      </c>
      <c r="O9" s="37" t="str">
        <f aca="false">IFERROR(AVERAGEIF($A$5:$A$300,K9,$G$5:$G$300),"-")</f>
        <v>-</v>
      </c>
      <c r="P9" s="16"/>
      <c r="Q9" s="16" t="s">
        <v>42</v>
      </c>
    </row>
    <row r="10" customFormat="false" ht="15" hidden="false" customHeight="false" outlineLevel="0" collapsed="false">
      <c r="A10" s="16"/>
      <c r="B10" s="16"/>
      <c r="C10" s="16"/>
      <c r="D10" s="16"/>
      <c r="E10" s="16"/>
      <c r="F10" s="16"/>
      <c r="G10" s="16"/>
      <c r="H10" s="16"/>
      <c r="I10" s="16"/>
      <c r="J10" s="16"/>
      <c r="K10" s="16" t="s">
        <v>40</v>
      </c>
      <c r="L10" s="16" t="n">
        <f aca="false">COUNTIF($A$5:$A$300,K10)</f>
        <v>0</v>
      </c>
      <c r="M10" s="37" t="str">
        <f aca="false">IFERROR(AVERAGEIF($A$5:$A$300,K10,$D$5:$D$300),"-")</f>
        <v>-</v>
      </c>
      <c r="N10" s="38" t="str">
        <f aca="false">IFERROR(AVERAGEIF($A$5:$A$300,K10,$F$5:$F$300),"-")</f>
        <v>-</v>
      </c>
      <c r="O10" s="37" t="str">
        <f aca="false">IFERROR(AVERAGEIF($A$5:$A$300,K10,$G$5:$G$300),"-")</f>
        <v>-</v>
      </c>
      <c r="P10" s="16"/>
      <c r="Q10" s="16" t="s">
        <v>43</v>
      </c>
    </row>
    <row r="11" customFormat="false" ht="15" hidden="false" customHeight="false" outlineLevel="0" collapsed="false">
      <c r="A11" s="16"/>
      <c r="B11" s="16"/>
      <c r="C11" s="16"/>
      <c r="D11" s="16"/>
      <c r="E11" s="16"/>
      <c r="F11" s="16"/>
      <c r="G11" s="16"/>
      <c r="H11" s="16"/>
      <c r="I11" s="16"/>
      <c r="J11" s="16"/>
      <c r="K11" s="16" t="s">
        <v>41</v>
      </c>
      <c r="L11" s="16" t="n">
        <f aca="false">COUNTIF($A$5:$A$300,K11)</f>
        <v>0</v>
      </c>
      <c r="M11" s="37" t="str">
        <f aca="false">IFERROR(AVERAGEIF($A$5:$A$300,K11,$D$5:$D$300),"-")</f>
        <v>-</v>
      </c>
      <c r="N11" s="38" t="str">
        <f aca="false">IFERROR(AVERAGEIF($A$5:$A$300,K11,$F$5:$F$300),"-")</f>
        <v>-</v>
      </c>
      <c r="O11" s="37" t="str">
        <f aca="false">IFERROR(AVERAGEIF($A$5:$A$300,K11,$G$5:$G$300),"-")</f>
        <v>-</v>
      </c>
      <c r="P11" s="16"/>
      <c r="Q11" s="16" t="s">
        <v>44</v>
      </c>
    </row>
    <row r="12" customFormat="false" ht="15" hidden="false" customHeight="false" outlineLevel="0" collapsed="false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 t="s">
        <v>42</v>
      </c>
      <c r="L12" s="16" t="n">
        <f aca="false">COUNTIF($A$5:$A$300,K12)</f>
        <v>0</v>
      </c>
      <c r="M12" s="37" t="str">
        <f aca="false">IFERROR(AVERAGEIF($A$5:$A$300,K12,$D$5:$D$300),"-")</f>
        <v>-</v>
      </c>
      <c r="N12" s="38" t="str">
        <f aca="false">IFERROR(AVERAGEIF($A$5:$A$300,K12,$F$5:$F$300),"-")</f>
        <v>-</v>
      </c>
      <c r="O12" s="37" t="str">
        <f aca="false">IFERROR(AVERAGEIF($A$5:$A$300,K12,$G$5:$G$300),"-")</f>
        <v>-</v>
      </c>
      <c r="P12" s="16"/>
      <c r="Q12" s="16"/>
    </row>
    <row r="13" customFormat="false" ht="15" hidden="false" customHeight="false" outlineLevel="0" collapsed="false">
      <c r="A13" s="16"/>
      <c r="B13" s="16"/>
      <c r="C13" s="16"/>
      <c r="D13" s="16"/>
      <c r="E13" s="16"/>
      <c r="F13" s="16"/>
      <c r="G13" s="16"/>
      <c r="H13" s="16"/>
      <c r="I13" s="16"/>
      <c r="J13" s="16"/>
      <c r="K13" s="16" t="s">
        <v>43</v>
      </c>
      <c r="L13" s="16" t="n">
        <f aca="false">COUNTIF($A$5:$A$300,K13)</f>
        <v>0</v>
      </c>
      <c r="M13" s="37" t="str">
        <f aca="false">IFERROR(AVERAGEIF($A$5:$A$300,K13,$D$5:$D$300),"-")</f>
        <v>-</v>
      </c>
      <c r="N13" s="38" t="str">
        <f aca="false">IFERROR(AVERAGEIF($A$5:$A$300,K13,$F$5:$F$300),"-")</f>
        <v>-</v>
      </c>
      <c r="O13" s="37" t="str">
        <f aca="false">IFERROR(AVERAGEIF($A$5:$A$300,K13,$G$5:$G$300),"-")</f>
        <v>-</v>
      </c>
      <c r="P13" s="16"/>
      <c r="Q13" s="16"/>
    </row>
    <row r="14" customFormat="false" ht="15" hidden="false" customHeight="false" outlineLevel="0" collapsed="false">
      <c r="A14" s="16"/>
      <c r="B14" s="16"/>
      <c r="C14" s="16"/>
      <c r="D14" s="16"/>
      <c r="E14" s="16"/>
      <c r="F14" s="16"/>
      <c r="G14" s="16"/>
      <c r="H14" s="16"/>
      <c r="I14" s="16"/>
      <c r="J14" s="16"/>
      <c r="K14" s="16" t="s">
        <v>44</v>
      </c>
      <c r="L14" s="16" t="n">
        <f aca="false">COUNTIF($A$5:$A$300,K14)</f>
        <v>0</v>
      </c>
      <c r="M14" s="37" t="str">
        <f aca="false">IFERROR(AVERAGEIF($A$5:$A$300,K14,$D$5:$D$300),"-")</f>
        <v>-</v>
      </c>
      <c r="N14" s="38" t="str">
        <f aca="false">IFERROR(AVERAGEIF($A$5:$A$300,K14,$F$5:$F$300),"-")</f>
        <v>-</v>
      </c>
      <c r="O14" s="37" t="str">
        <f aca="false">IFERROR(AVERAGEIF($A$5:$A$300,K14,$G$5:$G$300),"-")</f>
        <v>-</v>
      </c>
      <c r="P14" s="16"/>
      <c r="Q14" s="16"/>
    </row>
    <row r="15" customFormat="false" ht="15" hidden="false" customHeight="false" outlineLevel="0" collapsed="false">
      <c r="A15" s="16"/>
      <c r="B15" s="16"/>
      <c r="C15" s="16"/>
      <c r="D15" s="16"/>
      <c r="E15" s="16"/>
      <c r="F15" s="16"/>
      <c r="G15" s="16"/>
      <c r="H15" s="16"/>
      <c r="I15" s="16"/>
      <c r="J15" s="16"/>
      <c r="K15" s="16"/>
      <c r="L15" s="16"/>
      <c r="M15" s="16"/>
      <c r="N15" s="16"/>
      <c r="O15" s="16"/>
      <c r="P15" s="16"/>
      <c r="Q15" s="16"/>
    </row>
    <row r="16" customFormat="false" ht="15" hidden="false" customHeight="false" outlineLevel="0" collapsed="false">
      <c r="A16" s="16"/>
      <c r="B16" s="16"/>
      <c r="C16" s="16"/>
      <c r="D16" s="16"/>
      <c r="E16" s="16"/>
      <c r="F16" s="16"/>
      <c r="G16" s="16"/>
      <c r="H16" s="16"/>
      <c r="I16" s="16"/>
      <c r="J16" s="16"/>
      <c r="K16" s="15" t="s">
        <v>178</v>
      </c>
      <c r="L16" s="16"/>
      <c r="M16" s="16"/>
      <c r="N16" s="16"/>
      <c r="O16" s="16"/>
      <c r="P16" s="16"/>
      <c r="Q16" s="16"/>
    </row>
  </sheetData>
  <dataValidations count="1">
    <dataValidation allowBlank="true" errorStyle="stop" operator="between" showDropDown="false" showErrorMessage="false" showInputMessage="false" sqref="A5:A300" type="list">
      <formula1>$Q$2:$Q$11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2026-10-19T22:29:59Z</dcterms:created>
  <dc:creator>openpyxl</dc:creator>
  <dc:description/>
  <dc:language>en-US</dc:language>
  <cp:lastModifiedBy/>
  <dcterms:modified xsi:type="dcterms:W3CDTF">2026-10-19T22:29:59Z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