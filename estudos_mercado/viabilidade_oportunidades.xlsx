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Resumo" sheetId="2" state="visible" r:id="rId4"/>
    <sheet name="Premissas" sheetId="3" state="visible" r:id="rId5"/>
    <sheet name="Fluxo BPO" sheetId="4" state="visible" r:id="rId6"/>
    <sheet name="Fluxo NR-1" sheetId="5" state="visible" r:id="rId7"/>
    <sheet name="Fluxo Cuidadores" sheetId="6" state="visible" r:id="rId8"/>
    <sheet name="Validação de campo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4" authorId="0">
      <text>
        <r>
          <rPr>
            <sz val="10"/>
            <rFont val="Arial"/>
            <family val="2"/>
          </rPr>
          <t xml:space="preserve">Valor mensal cobrado pelo concorrente para o serviço equivalente.</t>
        </r>
      </text>
    </comment>
  </commentList>
</comments>
</file>

<file path=xl/sharedStrings.xml><?xml version="1.0" encoding="utf-8"?>
<sst xmlns="http://schemas.openxmlformats.org/spreadsheetml/2006/main" count="190" uniqueCount="140">
  <si>
    <t xml:space="preserve">Viabilidade das 3 oportunidades finalistas</t>
  </si>
  <si>
    <t xml:space="preserve">Levantamento de mercado: BPO financeiro, Consultoria NR-1 e Agência de cuidadores</t>
  </si>
  <si>
    <t xml:space="preserve">COMO USAR</t>
  </si>
  <si>
    <t xml:space="preserve">1. Edite só as células AMARELAS com texto AZUL na aba 'Premissas'. Todo o resto é fórmula.</t>
  </si>
  <si>
    <t xml:space="preserve">2. Escolha o cenário (Pessimista / Base / Otimista) na célula B18 da aba 'Premissas'.</t>
  </si>
  <si>
    <t xml:space="preserve">3. Veja os indicadores comparados na aba 'Resumo' (payback, VPL, TIR, ponto de equilíbrio).</t>
  </si>
  <si>
    <t xml:space="preserve">4. As abas 'Fluxo ...' mostram mês a mês (36 meses) clientes, receita, custos e caixa acumulado.</t>
  </si>
  <si>
    <t xml:space="preserve">5. Use a aba 'Validação de campo' para registrar concorrentes e cotações no Alto Tietê e depois ajustar as premissas.</t>
  </si>
  <si>
    <t xml:space="preserve">LEGENDA DE CORES</t>
  </si>
  <si>
    <t xml:space="preserve">Texto azul + fundo amarelo = premissa digitada (pode alterar)</t>
  </si>
  <si>
    <t xml:space="preserve">Texto preto = fórmula calculada (não alterar)</t>
  </si>
  <si>
    <t xml:space="preserve">Texto verde = vínculo com outra aba</t>
  </si>
  <si>
    <t xml:space="preserve">ATENÇÃO</t>
  </si>
  <si>
    <t xml:space="preserve">Todas as premissas financeiras são ESTIMATIVAS iniciais, não dados de mercado. Valide preços, custos e impostos antes de qualquer decisão.</t>
  </si>
  <si>
    <t xml:space="preserve">Os impostos usam alíquota de referência do Simples Nacional. Confirme CNAE, anexo e Fator R.</t>
  </si>
  <si>
    <t xml:space="preserve">O modelo trata clientes como média (pode haver frações) e não inclui reajuste de preços nem capital de giro: é uma visão gerencial simplificada.</t>
  </si>
  <si>
    <t xml:space="preserve">FONTES DOS DADOS DE DEMANDA (levantamento de out/2026)</t>
  </si>
  <si>
    <t xml:space="preserve">BPO / reforma tributária: https://www.imarcgroup.com/report/pt-br/brazil-business-process-outsourcing-market</t>
  </si>
  <si>
    <t xml:space="preserve">Contratações pela reforma (Robert Half): https://fenacon.org.br/reforma-tributaria/reforma-tributaria-impulsiona-contratacao-de-contadores-e-tributaristas/</t>
  </si>
  <si>
    <t xml:space="preserve">NR-1 em vigor desde 26/05/2026: https://www.rsdata.com.br/?p=36737</t>
  </si>
  <si>
    <t xml:space="preserve">Fiscalização NR-1: https://www.contabeis.com.br/noticias/76472/nr-1-entra-em-fase-de-fiscalizacao-e-pressiona-empresas/</t>
  </si>
  <si>
    <t xml:space="preserve">Afastamentos por transtornos mentais 2025: https://outraspalavras.net/outrasaude/quais-as-doencas-que-mais-afastaram-trabalhadores-em-2025/</t>
  </si>
  <si>
    <t xml:space="preserve">Cuidadores +74% (Sebrae): https://fenacon.org.br/noticias/em-cinco-anos-abertura-de-pequenos-negocios-de-servico-de-cuidadores-cresceu-74-no-brasil/</t>
  </si>
  <si>
    <t xml:space="preserve">Envelhecimento (Censo 2022): https://www.em.com.br/gerais/2026/07/7467827-com-o-pais-envelhecendo-quem-cuidara-dos-nossos-idosos-e-de-nos-mesmos.html</t>
  </si>
  <si>
    <t xml:space="preserve">Resumo comparativo - 36 meses</t>
  </si>
  <si>
    <t xml:space="preserve">Cenário ativo:</t>
  </si>
  <si>
    <t xml:space="preserve">Indicador</t>
  </si>
  <si>
    <t xml:space="preserve">BPO financeiro</t>
  </si>
  <si>
    <t xml:space="preserve">Consultoria NR-1</t>
  </si>
  <si>
    <t xml:space="preserve">Agência de cuidadores</t>
  </si>
  <si>
    <t xml:space="preserve">Como ler</t>
  </si>
  <si>
    <t xml:space="preserve">Investimento inicial</t>
  </si>
  <si>
    <t xml:space="preserve">Valor aplicado no mês 0.</t>
  </si>
  <si>
    <t xml:space="preserve">Clientes ativos - mês 12</t>
  </si>
  <si>
    <t xml:space="preserve">Clientes ativos - mês 36</t>
  </si>
  <si>
    <t xml:space="preserve">Receita mensal - mês 12</t>
  </si>
  <si>
    <t xml:space="preserve">Receita mensal - mês 36</t>
  </si>
  <si>
    <t xml:space="preserve">Resultado mensal - mês 12</t>
  </si>
  <si>
    <t xml:space="preserve">Depois de impostos, custos e pró-labore.</t>
  </si>
  <si>
    <t xml:space="preserve">Resultado mensal - mês 36</t>
  </si>
  <si>
    <t xml:space="preserve">Margem líquida - mês 12</t>
  </si>
  <si>
    <t xml:space="preserve">Resultado / receita.</t>
  </si>
  <si>
    <t xml:space="preserve">Margem líquida - mês 36</t>
  </si>
  <si>
    <t xml:space="preserve">Receita acumulada - 36 meses</t>
  </si>
  <si>
    <t xml:space="preserve">Caixa acumulado - mês 36</t>
  </si>
  <si>
    <t xml:space="preserve">Já descontado o investimento inicial.</t>
  </si>
  <si>
    <t xml:space="preserve">Ponto de equilíbrio (clientes)</t>
  </si>
  <si>
    <t xml:space="preserve">Clientes recorrentes para cobrir custos fixos e pró-labore (sem implantação).</t>
  </si>
  <si>
    <t xml:space="preserve">Payback (meses)</t>
  </si>
  <si>
    <t xml:space="preserve">Mês em que o caixa acumulado volta a ficar positivo.</t>
  </si>
  <si>
    <t xml:space="preserve">VPL - 36 meses</t>
  </si>
  <si>
    <t xml:space="preserve">Positivo = rende mais que a TMA.</t>
  </si>
  <si>
    <t xml:space="preserve">TIR mensal</t>
  </si>
  <si>
    <t xml:space="preserve">Comparar com a TMA.</t>
  </si>
  <si>
    <t xml:space="preserve">TIR anual equivalente</t>
  </si>
  <si>
    <t xml:space="preserve">Todos os valores dependem das premissas estimadas; troque o cenário em Premissas!B18 para testar sensibilidade.</t>
  </si>
  <si>
    <t xml:space="preserve">Premissas do modelo</t>
  </si>
  <si>
    <t xml:space="preserve">Células amarelas = estimativas editáveis. Valores iniciais são hipóteses a validar.</t>
  </si>
  <si>
    <t xml:space="preserve">Premissa</t>
  </si>
  <si>
    <t xml:space="preserve">Unidade</t>
  </si>
  <si>
    <t xml:space="preserve">Observação</t>
  </si>
  <si>
    <t xml:space="preserve">R$</t>
  </si>
  <si>
    <t xml:space="preserve">Estimativa. BPO: software, BI, marketing, CNPJ. NR-1: equipe técnica, software, material. Cuidadores: escritório, seguro, seleção/treinamento, marketing.</t>
  </si>
  <si>
    <t xml:space="preserve">Ticket mensal recorrente por cliente</t>
  </si>
  <si>
    <t xml:space="preserve">R$/mês</t>
  </si>
  <si>
    <t xml:space="preserve">Estimativa a validar com cotação oculta. Cuidadores: valor cobrado da família por um cuidador mensal (ex.: plantão 12x36 diurno).</t>
  </si>
  <si>
    <t xml:space="preserve">Receita de implantação por novo cliente</t>
  </si>
  <si>
    <t xml:space="preserve">Cobrança única na entrada. BPO: onboarding/organização inicial. NR-1: diagnóstico psicossocial + revisão do PGR.</t>
  </si>
  <si>
    <t xml:space="preserve">Clientes no 1º mês</t>
  </si>
  <si>
    <t xml:space="preserve">clientes</t>
  </si>
  <si>
    <t xml:space="preserve">Estimativa conservadora (rede de contatos).</t>
  </si>
  <si>
    <t xml:space="preserve">Novos clientes por mês</t>
  </si>
  <si>
    <t xml:space="preserve">clientes/mês</t>
  </si>
  <si>
    <t xml:space="preserve">Estimativa. Ajustada pelo fator de cenário.</t>
  </si>
  <si>
    <t xml:space="preserve">Capacidade máxima de clientes</t>
  </si>
  <si>
    <t xml:space="preserve">Limite operacional da equipe prevista. Acima disso, contratar (rever custos fixos).</t>
  </si>
  <si>
    <t xml:space="preserve">Cancelamento mensal (churn)</t>
  </si>
  <si>
    <t xml:space="preserve">% ao mês</t>
  </si>
  <si>
    <t xml:space="preserve">Estimativa. Cuidadores tem churn maior (internação, falecimento, mudança).</t>
  </si>
  <si>
    <t xml:space="preserve">Custo variável</t>
  </si>
  <si>
    <t xml:space="preserve">% da receita</t>
  </si>
  <si>
    <t xml:space="preserve">BPO: horas de analista + software por cliente. NR-1: psicólogo parceiro e horas técnicas. Cuidadores: salário + encargos + benefícios do cuidador.</t>
  </si>
  <si>
    <t xml:space="preserve">Impostos sobre a receita</t>
  </si>
  <si>
    <t xml:space="preserve">Referência: Simples Nacional, faixa inicial. Confirme CNAE, anexo e Fator R. Cuidadores: cessão de mão de obra tem restrições no Simples, confirmar enquadramento.</t>
  </si>
  <si>
    <t xml:space="preserve">Custos fixos mensais</t>
  </si>
  <si>
    <t xml:space="preserve">Estimativa: sistemas, contador, internet, marketing, aluguel/coworking.</t>
  </si>
  <si>
    <t xml:space="preserve">Pró-labore mensal</t>
  </si>
  <si>
    <t xml:space="preserve">Retirada do(a) sócio(a). Ajuste para sua necessidade.</t>
  </si>
  <si>
    <t xml:space="preserve">Cenário</t>
  </si>
  <si>
    <t xml:space="preserve">Cenário escolhido</t>
  </si>
  <si>
    <t xml:space="preserve">Base</t>
  </si>
  <si>
    <t xml:space="preserve">Lista suspensa: Pessimista, Base ou Otimista.</t>
  </si>
  <si>
    <t xml:space="preserve">Fator novos clientes</t>
  </si>
  <si>
    <t xml:space="preserve">Fator ticket</t>
  </si>
  <si>
    <t xml:space="preserve">Pessimista</t>
  </si>
  <si>
    <t xml:space="preserve">Fatores multiplicam 'Novos clientes por mês' e os tickets (recorrente e implantação).</t>
  </si>
  <si>
    <t xml:space="preserve">Otimista</t>
  </si>
  <si>
    <t xml:space="preserve">Fator novos clientes (ativo)</t>
  </si>
  <si>
    <t xml:space="preserve">Fator ticket (ativo)</t>
  </si>
  <si>
    <t xml:space="preserve">Taxa mínima de atratividade (TMA)</t>
  </si>
  <si>
    <t xml:space="preserve">Custo de oportunidade do dinheiro (ex.: rendimento de aplicação conservadora). Usada no VPL. Ajuste para sua realidade.</t>
  </si>
  <si>
    <t xml:space="preserve">Fluxo mensal - BPO financeiro</t>
  </si>
  <si>
    <t xml:space="preserve">Mês</t>
  </si>
  <si>
    <t xml:space="preserve">Clientes ativos</t>
  </si>
  <si>
    <t xml:space="preserve">Novos clientes (efetivos)</t>
  </si>
  <si>
    <t xml:space="preserve">Receita recorrente</t>
  </si>
  <si>
    <t xml:space="preserve">Receita de implantação</t>
  </si>
  <si>
    <t xml:space="preserve">Receita total</t>
  </si>
  <si>
    <t xml:space="preserve">Impostos</t>
  </si>
  <si>
    <t xml:space="preserve">Custos variáveis</t>
  </si>
  <si>
    <t xml:space="preserve">Margem de contribuição</t>
  </si>
  <si>
    <t xml:space="preserve">Custos fixos + pró-labore</t>
  </si>
  <si>
    <t xml:space="preserve">Resultado operacional</t>
  </si>
  <si>
    <t xml:space="preserve">Fluxo de caixa</t>
  </si>
  <si>
    <t xml:space="preserve">Caixa acumulado</t>
  </si>
  <si>
    <t xml:space="preserve">Payback atingido? (1=sim)</t>
  </si>
  <si>
    <t xml:space="preserve">Linhas cinza = fim de cada ano (meses 12, 24 e 36).</t>
  </si>
  <si>
    <t xml:space="preserve">Fluxo mensal - Consultoria NR-1</t>
  </si>
  <si>
    <t xml:space="preserve">Fluxo mensal - Agência de cuidadores</t>
  </si>
  <si>
    <t xml:space="preserve">Validação de campo - concorrentes e cotações no Alto Tietê</t>
  </si>
  <si>
    <t xml:space="preserve">Preencha uma linha por concorrente encontrado (Google Maps, indicações, cotação oculta). A linha 5 é um EXEMPLO fictício de formato: substitua pelos seus dados.</t>
  </si>
  <si>
    <t xml:space="preserve">Resumo por oportunidade</t>
  </si>
  <si>
    <t xml:space="preserve">Oportunidade</t>
  </si>
  <si>
    <t xml:space="preserve">Cidade</t>
  </si>
  <si>
    <t xml:space="preserve">Empresa</t>
  </si>
  <si>
    <t xml:space="preserve">Nota Google</t>
  </si>
  <si>
    <t xml:space="preserve">Nº avaliações</t>
  </si>
  <si>
    <t xml:space="preserve">Preço cotado (R$)</t>
  </si>
  <si>
    <t xml:space="preserve">Prazo para atender (dias)</t>
  </si>
  <si>
    <t xml:space="preserve">Pontos fracos / reclamações</t>
  </si>
  <si>
    <t xml:space="preserve">Data</t>
  </si>
  <si>
    <t xml:space="preserve">Concorrentes</t>
  </si>
  <si>
    <t xml:space="preserve">Nota média</t>
  </si>
  <si>
    <t xml:space="preserve">Preço médio (R$)</t>
  </si>
  <si>
    <t xml:space="preserve">Prazo médio (dias)</t>
  </si>
  <si>
    <t xml:space="preserve">Mogi das Cruzes</t>
  </si>
  <si>
    <t xml:space="preserve">Exemplo Ltda (fictício)</t>
  </si>
  <si>
    <t xml:space="preserve">Só faz lançamentos, sem relatório gerencial</t>
  </si>
  <si>
    <t xml:space="preserve">2026-10-20</t>
  </si>
  <si>
    <t xml:space="preserve">Use o preço médio para revisar o ticket na aba Premissas.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</si>
</sst>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&quot;R$ &quot;#,##0;&quot;(R$ &quot;#,##0\);\-"/>
    <numFmt numFmtId="166" formatCode="#,##0.0;\(#,##0.0\);\-"/>
    <numFmt numFmtId="167" formatCode="0.0%;\(0.0%\);\-"/>
    <numFmt numFmtId="168" formatCode="0"/>
    <numFmt numFmtId="169" formatCode="0.00\x"/>
    <numFmt numFmtId="170" formatCode="0.00%"/>
    <numFmt numFmtId="171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11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5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3" t="s">
        <v>21</v>
      </c>
    </row>
    <row r="27" customFormat="false" ht="15" hidden="false" customHeight="false" outlineLevel="0" collapsed="false">
      <c r="A27" s="3" t="s">
        <v>22</v>
      </c>
    </row>
    <row r="28" customFormat="false" ht="15" hidden="false" customHeight="false" outlineLevel="0" collapsed="false">
      <c r="A28" s="3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  <col collapsed="false" customWidth="true" hidden="false" outlineLevel="0" max="4" min="4" style="0" width="22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24</v>
      </c>
    </row>
    <row r="2" customFormat="false" ht="15" hidden="false" customHeight="false" outlineLevel="0" collapsed="false">
      <c r="A2" s="0" t="s">
        <v>25</v>
      </c>
      <c r="B2" s="5" t="str">
        <f aca="false">Premissas!$B$18</f>
        <v>Base</v>
      </c>
    </row>
    <row r="4" customFormat="false" ht="26.85" hidden="false" customHeight="false" outlineLevel="0" collapsed="false">
      <c r="A4" s="6" t="s">
        <v>26</v>
      </c>
      <c r="B4" s="6" t="s">
        <v>27</v>
      </c>
      <c r="C4" s="6" t="s">
        <v>28</v>
      </c>
      <c r="D4" s="6" t="s">
        <v>29</v>
      </c>
      <c r="E4" s="6" t="s">
        <v>30</v>
      </c>
    </row>
    <row r="5" customFormat="false" ht="15" hidden="false" customHeight="false" outlineLevel="0" collapsed="false">
      <c r="A5" s="7" t="s">
        <v>31</v>
      </c>
      <c r="B5" s="8" t="n">
        <f aca="false">Premissas!$B$5</f>
        <v>25000</v>
      </c>
      <c r="C5" s="8" t="n">
        <f aca="false">Premissas!$C$5</f>
        <v>40000</v>
      </c>
      <c r="D5" s="8" t="n">
        <f aca="false">Premissas!$D$5</f>
        <v>50000</v>
      </c>
      <c r="E5" s="7" t="s">
        <v>32</v>
      </c>
    </row>
    <row r="6" customFormat="false" ht="15" hidden="false" customHeight="false" outlineLevel="0" collapsed="false">
      <c r="A6" s="7" t="s">
        <v>33</v>
      </c>
      <c r="B6" s="9" t="n">
        <f aca="false">'Fluxo BPO'!B17</f>
        <v>21.52832762652</v>
      </c>
      <c r="C6" s="9" t="n">
        <f aca="false">'Fluxo NR-1'!B17</f>
        <v>14.9502312486841</v>
      </c>
      <c r="D6" s="9" t="n">
        <f aca="false">'Fluxo Cuidadores'!B17</f>
        <v>14.0735974162591</v>
      </c>
      <c r="E6" s="7"/>
    </row>
    <row r="7" customFormat="false" ht="15" hidden="false" customHeight="false" outlineLevel="0" collapsed="false">
      <c r="A7" s="7" t="s">
        <v>34</v>
      </c>
      <c r="B7" s="9" t="n">
        <f aca="false">'Fluxo BPO'!B41</f>
        <v>40</v>
      </c>
      <c r="C7" s="9" t="n">
        <f aca="false">'Fluxo NR-1'!B41</f>
        <v>30</v>
      </c>
      <c r="D7" s="9" t="n">
        <f aca="false">'Fluxo Cuidadores'!B41</f>
        <v>25.349665248347</v>
      </c>
      <c r="E7" s="7"/>
    </row>
    <row r="8" customFormat="false" ht="15" hidden="false" customHeight="false" outlineLevel="0" collapsed="false">
      <c r="A8" s="7" t="s">
        <v>35</v>
      </c>
      <c r="B8" s="8" t="n">
        <f aca="false">'Fluxo BPO'!F17</f>
        <v>34292.49143978</v>
      </c>
      <c r="C8" s="8" t="n">
        <f aca="false">'Fluxo NR-1'!F17</f>
        <v>29940.2774984209</v>
      </c>
      <c r="D8" s="8" t="n">
        <f aca="false">'Fluxo Cuidadores'!F17</f>
        <v>77404.7857894252</v>
      </c>
      <c r="E8" s="7"/>
    </row>
    <row r="9" customFormat="false" ht="15" hidden="false" customHeight="false" outlineLevel="0" collapsed="false">
      <c r="A9" s="7" t="s">
        <v>36</v>
      </c>
      <c r="B9" s="8" t="n">
        <f aca="false">'Fluxo BPO'!F41</f>
        <v>60800</v>
      </c>
      <c r="C9" s="8" t="n">
        <f aca="false">'Fluxo NR-1'!F41</f>
        <v>43200</v>
      </c>
      <c r="D9" s="8" t="n">
        <f aca="false">'Fluxo Cuidadores'!F41</f>
        <v>139423.158865908</v>
      </c>
      <c r="E9" s="7"/>
    </row>
    <row r="10" customFormat="false" ht="15" hidden="false" customHeight="false" outlineLevel="0" collapsed="false">
      <c r="A10" s="7" t="s">
        <v>37</v>
      </c>
      <c r="B10" s="8" t="n">
        <f aca="false">'Fluxo BPO'!K17</f>
        <v>13947.1945214592</v>
      </c>
      <c r="C10" s="8" t="n">
        <f aca="false">'Fluxo NR-1'!K17</f>
        <v>7664.76372406831</v>
      </c>
      <c r="D10" s="8" t="n">
        <f aca="false">'Fluxo Cuidadores'!K17</f>
        <v>-2485.47356316324</v>
      </c>
      <c r="E10" s="7" t="s">
        <v>38</v>
      </c>
    </row>
    <row r="11" customFormat="false" ht="15" hidden="false" customHeight="false" outlineLevel="0" collapsed="false">
      <c r="A11" s="7" t="s">
        <v>39</v>
      </c>
      <c r="B11" s="8" t="n">
        <f aca="false">'Fluxo BPO'!K41</f>
        <v>30912</v>
      </c>
      <c r="C11" s="8" t="n">
        <f aca="false">'Fluxo NR-1'!K41</f>
        <v>15488</v>
      </c>
      <c r="D11" s="8" t="n">
        <f aca="false">'Fluxo Cuidadores'!K41</f>
        <v>4336.54747524993</v>
      </c>
      <c r="E11" s="7"/>
    </row>
    <row r="12" customFormat="false" ht="15" hidden="false" customHeight="false" outlineLevel="0" collapsed="false">
      <c r="A12" s="7" t="s">
        <v>40</v>
      </c>
      <c r="B12" s="10" t="n">
        <f aca="false">IFERROR('Fluxo BPO'!K17/'Fluxo BPO'!F17,0)</f>
        <v>0.406712779850115</v>
      </c>
      <c r="C12" s="10" t="n">
        <f aca="false">IFERROR('Fluxo NR-1'!K17/'Fluxo NR-1'!F17,0)</f>
        <v>0.256001759652113</v>
      </c>
      <c r="D12" s="10" t="n">
        <f aca="false">IFERROR('Fluxo Cuidadores'!K17/'Fluxo Cuidadores'!F17,0)</f>
        <v>-0.03211007611241</v>
      </c>
      <c r="E12" s="7" t="s">
        <v>41</v>
      </c>
    </row>
    <row r="13" customFormat="false" ht="15" hidden="false" customHeight="false" outlineLevel="0" collapsed="false">
      <c r="A13" s="7" t="s">
        <v>42</v>
      </c>
      <c r="B13" s="10" t="n">
        <f aca="false">IFERROR('Fluxo BPO'!K41/'Fluxo BPO'!F41,0)</f>
        <v>0.508421052631579</v>
      </c>
      <c r="C13" s="10" t="n">
        <f aca="false">IFERROR('Fluxo NR-1'!K41/'Fluxo NR-1'!F41,0)</f>
        <v>0.358518518518519</v>
      </c>
      <c r="D13" s="10" t="n">
        <f aca="false">IFERROR('Fluxo Cuidadores'!K41/'Fluxo Cuidadores'!F41,0)</f>
        <v>0.0311034946455391</v>
      </c>
      <c r="E13" s="7"/>
    </row>
    <row r="14" customFormat="false" ht="15" hidden="false" customHeight="false" outlineLevel="0" collapsed="false">
      <c r="A14" s="7" t="s">
        <v>43</v>
      </c>
      <c r="B14" s="8" t="n">
        <f aca="false">SUM('Fluxo BPO'!F5:F41)</f>
        <v>1554605.30739322</v>
      </c>
      <c r="C14" s="8" t="n">
        <f aca="false">SUM('Fluxo NR-1'!F5:F41)</f>
        <v>1243168.62521351</v>
      </c>
      <c r="D14" s="8" t="n">
        <f aca="false">SUM('Fluxo Cuidadores'!F5:F41)</f>
        <v>3345959.98154774</v>
      </c>
      <c r="E14" s="7"/>
    </row>
    <row r="15" customFormat="false" ht="15" hidden="false" customHeight="false" outlineLevel="0" collapsed="false">
      <c r="A15" s="7" t="s">
        <v>44</v>
      </c>
      <c r="B15" s="8" t="n">
        <f aca="false">'Fluxo BPO'!M41</f>
        <v>681947.396731664</v>
      </c>
      <c r="C15" s="8" t="n">
        <f aca="false">'Fluxo NR-1'!M41</f>
        <v>333469.488875969</v>
      </c>
      <c r="D15" s="8" t="n">
        <f aca="false">'Fluxo Cuidadores'!M41</f>
        <v>-77944.4020297489</v>
      </c>
      <c r="E15" s="7" t="s">
        <v>45</v>
      </c>
    </row>
    <row r="16" customFormat="false" ht="15" hidden="false" customHeight="false" outlineLevel="0" collapsed="false">
      <c r="A16" s="7" t="s">
        <v>46</v>
      </c>
      <c r="B16" s="9" t="n">
        <f aca="false">IFERROR((Premissas!$B$14+Premissas!$B$15)/(Premissas!$B$6*Premissas!$B$26*(1-Premissas!$B$13-Premissas!$B$12)),"n/d")</f>
        <v>8.33333333333333</v>
      </c>
      <c r="C16" s="9" t="n">
        <f aca="false">IFERROR((Premissas!$C$14+Premissas!$C$15)/(Premissas!$C$6*Premissas!$B$26*(1-Premissas!$C$13-Premissas!$C$12)),"n/d")</f>
        <v>14.1242937853107</v>
      </c>
      <c r="D16" s="9" t="n">
        <f aca="false">IFERROR((Premissas!$D$14+Premissas!$D$15)/(Premissas!$D$6*Premissas!$B$26*(1-Premissas!$D$13-Premissas!$D$12)),"n/d")</f>
        <v>18.1818181818182</v>
      </c>
      <c r="E16" s="7" t="s">
        <v>47</v>
      </c>
    </row>
    <row r="17" customFormat="false" ht="15" hidden="false" customHeight="false" outlineLevel="0" collapsed="false">
      <c r="A17" s="7" t="s">
        <v>48</v>
      </c>
      <c r="B17" s="11" t="n">
        <f aca="false">IFERROR(MATCH(1,'Fluxo BPO'!N5:N41,0)-1,"Acima de 36")</f>
        <v>10</v>
      </c>
      <c r="C17" s="11" t="n">
        <f aca="false">IFERROR(MATCH(1,'Fluxo NR-1'!N5:N41,0)-1,"Acima de 36")</f>
        <v>13</v>
      </c>
      <c r="D17" s="11" t="str">
        <f aca="false">IFERROR(MATCH(1,'Fluxo Cuidadores'!N5:N41,0)-1,"Acima de 36")</f>
        <v>Acima de 36</v>
      </c>
      <c r="E17" s="7" t="s">
        <v>49</v>
      </c>
    </row>
    <row r="18" customFormat="false" ht="15" hidden="false" customHeight="false" outlineLevel="0" collapsed="false">
      <c r="A18" s="7" t="s">
        <v>50</v>
      </c>
      <c r="B18" s="8" t="n">
        <f aca="false">NPV(Premissas!$B$28,'Fluxo BPO'!L6:L41)+'Fluxo BPO'!L5</f>
        <v>505408.625971292</v>
      </c>
      <c r="C18" s="8" t="n">
        <f aca="false">NPV(Premissas!$B$28,'Fluxo NR-1'!L6:L41)+'Fluxo NR-1'!L5</f>
        <v>240636.86757266</v>
      </c>
      <c r="D18" s="8" t="n">
        <f aca="false">NPV(Premissas!$B$28,'Fluxo Cuidadores'!L6:L41)+'Fluxo Cuidadores'!L5</f>
        <v>-87149.9733464376</v>
      </c>
      <c r="E18" s="7" t="s">
        <v>51</v>
      </c>
    </row>
    <row r="19" customFormat="false" ht="15" hidden="false" customHeight="false" outlineLevel="0" collapsed="false">
      <c r="A19" s="7" t="s">
        <v>52</v>
      </c>
      <c r="B19" s="10" t="n">
        <f aca="false">IFERROR(IRR('Fluxo BPO'!L5:L41),"n/d")</f>
        <v>0.178694186746988</v>
      </c>
      <c r="C19" s="10" t="n">
        <f aca="false">IFERROR(IRR('Fluxo NR-1'!L5:L41),"n/d")</f>
        <v>0.109558241320612</v>
      </c>
      <c r="D19" s="10" t="str">
        <f aca="false">IFERROR(IRR('Fluxo Cuidadores'!L5:L41),"n/d")</f>
        <v>n/d</v>
      </c>
      <c r="E19" s="7" t="s">
        <v>53</v>
      </c>
    </row>
    <row r="20" customFormat="false" ht="15" hidden="false" customHeight="false" outlineLevel="0" collapsed="false">
      <c r="A20" s="7" t="s">
        <v>54</v>
      </c>
      <c r="B20" s="10" t="n">
        <f aca="false">IFERROR((1+IRR('Fluxo BPO'!L5:L41))^12-1,"n/d")</f>
        <v>6.19140420099819</v>
      </c>
      <c r="C20" s="10" t="n">
        <f aca="false">IFERROR((1+IRR('Fluxo NR-1'!L5:L41))^12-1,"n/d")</f>
        <v>2.48177932637616</v>
      </c>
      <c r="D20" s="10" t="str">
        <f aca="false">IFERROR((1+IRR('Fluxo Cuidadores'!L5:L41))^12-1,"n/d")</f>
        <v>n/d</v>
      </c>
      <c r="E20" s="7"/>
    </row>
    <row r="22" customFormat="false" ht="15" hidden="false" customHeight="false" outlineLevel="0" collapsed="false">
      <c r="A22" s="12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8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90"/>
  </cols>
  <sheetData>
    <row r="1" customFormat="false" ht="17.35" hidden="false" customHeight="false" outlineLevel="0" collapsed="false">
      <c r="A1" s="1" t="s">
        <v>56</v>
      </c>
    </row>
    <row r="2" customFormat="false" ht="15" hidden="false" customHeight="false" outlineLevel="0" collapsed="false">
      <c r="A2" s="12" t="s">
        <v>57</v>
      </c>
    </row>
    <row r="4" customFormat="false" ht="26.85" hidden="false" customHeight="false" outlineLevel="0" collapsed="false">
      <c r="A4" s="13" t="s">
        <v>58</v>
      </c>
      <c r="B4" s="13" t="s">
        <v>27</v>
      </c>
      <c r="C4" s="13" t="s">
        <v>28</v>
      </c>
      <c r="D4" s="13" t="s">
        <v>29</v>
      </c>
      <c r="E4" s="13" t="s">
        <v>59</v>
      </c>
      <c r="F4" s="13" t="s">
        <v>60</v>
      </c>
    </row>
    <row r="5" customFormat="false" ht="26.85" hidden="false" customHeight="false" outlineLevel="0" collapsed="false">
      <c r="A5" s="7" t="s">
        <v>31</v>
      </c>
      <c r="B5" s="14" t="n">
        <v>25000</v>
      </c>
      <c r="C5" s="14" t="n">
        <v>40000</v>
      </c>
      <c r="D5" s="14" t="n">
        <v>50000</v>
      </c>
      <c r="E5" s="7" t="s">
        <v>61</v>
      </c>
      <c r="F5" s="15" t="s">
        <v>62</v>
      </c>
    </row>
    <row r="6" customFormat="false" ht="26.85" hidden="false" customHeight="false" outlineLevel="0" collapsed="false">
      <c r="A6" s="7" t="s">
        <v>63</v>
      </c>
      <c r="B6" s="14" t="n">
        <v>1500</v>
      </c>
      <c r="C6" s="14" t="n">
        <v>1200</v>
      </c>
      <c r="D6" s="14" t="n">
        <v>5500</v>
      </c>
      <c r="E6" s="7" t="s">
        <v>64</v>
      </c>
      <c r="F6" s="15" t="s">
        <v>65</v>
      </c>
    </row>
    <row r="7" customFormat="false" ht="26.85" hidden="false" customHeight="false" outlineLevel="0" collapsed="false">
      <c r="A7" s="7" t="s">
        <v>66</v>
      </c>
      <c r="B7" s="14" t="n">
        <v>1000</v>
      </c>
      <c r="C7" s="14" t="n">
        <v>8000</v>
      </c>
      <c r="D7" s="14" t="n">
        <v>0</v>
      </c>
      <c r="E7" s="7" t="s">
        <v>61</v>
      </c>
      <c r="F7" s="15" t="s">
        <v>67</v>
      </c>
    </row>
    <row r="8" customFormat="false" ht="15" hidden="false" customHeight="false" outlineLevel="0" collapsed="false">
      <c r="A8" s="7" t="s">
        <v>68</v>
      </c>
      <c r="B8" s="16" t="n">
        <v>2</v>
      </c>
      <c r="C8" s="16" t="n">
        <v>1</v>
      </c>
      <c r="D8" s="16" t="n">
        <v>2</v>
      </c>
      <c r="E8" s="7" t="s">
        <v>69</v>
      </c>
      <c r="F8" s="15" t="s">
        <v>70</v>
      </c>
    </row>
    <row r="9" customFormat="false" ht="15" hidden="false" customHeight="false" outlineLevel="0" collapsed="false">
      <c r="A9" s="7" t="s">
        <v>71</v>
      </c>
      <c r="B9" s="16" t="n">
        <v>2</v>
      </c>
      <c r="C9" s="16" t="n">
        <v>1.5</v>
      </c>
      <c r="D9" s="16" t="n">
        <v>1.5</v>
      </c>
      <c r="E9" s="7" t="s">
        <v>72</v>
      </c>
      <c r="F9" s="15" t="s">
        <v>73</v>
      </c>
    </row>
    <row r="10" customFormat="false" ht="15" hidden="false" customHeight="false" outlineLevel="0" collapsed="false">
      <c r="A10" s="7" t="s">
        <v>74</v>
      </c>
      <c r="B10" s="16" t="n">
        <v>40</v>
      </c>
      <c r="C10" s="16" t="n">
        <v>30</v>
      </c>
      <c r="D10" s="16" t="n">
        <v>40</v>
      </c>
      <c r="E10" s="7" t="s">
        <v>69</v>
      </c>
      <c r="F10" s="15" t="s">
        <v>75</v>
      </c>
    </row>
    <row r="11" customFormat="false" ht="15" hidden="false" customHeight="false" outlineLevel="0" collapsed="false">
      <c r="A11" s="7" t="s">
        <v>76</v>
      </c>
      <c r="B11" s="17" t="n">
        <v>0.02</v>
      </c>
      <c r="C11" s="17" t="n">
        <v>0.03</v>
      </c>
      <c r="D11" s="17" t="n">
        <v>0.05</v>
      </c>
      <c r="E11" s="7" t="s">
        <v>77</v>
      </c>
      <c r="F11" s="15" t="s">
        <v>78</v>
      </c>
    </row>
    <row r="12" customFormat="false" ht="26.85" hidden="false" customHeight="false" outlineLevel="0" collapsed="false">
      <c r="A12" s="7" t="s">
        <v>79</v>
      </c>
      <c r="B12" s="17" t="n">
        <v>0.3</v>
      </c>
      <c r="C12" s="17" t="n">
        <v>0.35</v>
      </c>
      <c r="D12" s="17" t="n">
        <v>0.78</v>
      </c>
      <c r="E12" s="7" t="s">
        <v>80</v>
      </c>
      <c r="F12" s="15" t="s">
        <v>81</v>
      </c>
    </row>
    <row r="13" customFormat="false" ht="26.85" hidden="false" customHeight="false" outlineLevel="0" collapsed="false">
      <c r="A13" s="7" t="s">
        <v>82</v>
      </c>
      <c r="B13" s="17" t="n">
        <v>0.06</v>
      </c>
      <c r="C13" s="17" t="n">
        <v>0.06</v>
      </c>
      <c r="D13" s="17" t="n">
        <v>0.11</v>
      </c>
      <c r="E13" s="7" t="s">
        <v>80</v>
      </c>
      <c r="F13" s="15" t="s">
        <v>83</v>
      </c>
    </row>
    <row r="14" customFormat="false" ht="15" hidden="false" customHeight="false" outlineLevel="0" collapsed="false">
      <c r="A14" s="7" t="s">
        <v>84</v>
      </c>
      <c r="B14" s="14" t="n">
        <v>3000</v>
      </c>
      <c r="C14" s="14" t="n">
        <v>4000</v>
      </c>
      <c r="D14" s="14" t="n">
        <v>6000</v>
      </c>
      <c r="E14" s="7" t="s">
        <v>64</v>
      </c>
      <c r="F14" s="15" t="s">
        <v>85</v>
      </c>
    </row>
    <row r="15" customFormat="false" ht="15" hidden="false" customHeight="false" outlineLevel="0" collapsed="false">
      <c r="A15" s="7" t="s">
        <v>86</v>
      </c>
      <c r="B15" s="14" t="n">
        <v>5000</v>
      </c>
      <c r="C15" s="14" t="n">
        <v>6000</v>
      </c>
      <c r="D15" s="14" t="n">
        <v>5000</v>
      </c>
      <c r="E15" s="7" t="s">
        <v>64</v>
      </c>
      <c r="F15" s="15" t="s">
        <v>87</v>
      </c>
    </row>
    <row r="16" customFormat="false" ht="15" hidden="false" customHeight="false" outlineLevel="0" collapsed="false">
      <c r="A16" s="18"/>
      <c r="B16" s="18"/>
      <c r="C16" s="18"/>
      <c r="D16" s="18"/>
      <c r="E16" s="18"/>
      <c r="F16" s="18"/>
    </row>
    <row r="17" customFormat="false" ht="15" hidden="false" customHeight="false" outlineLevel="0" collapsed="false">
      <c r="A17" s="19" t="s">
        <v>88</v>
      </c>
      <c r="B17" s="18"/>
      <c r="C17" s="18"/>
      <c r="D17" s="18"/>
      <c r="E17" s="18"/>
      <c r="F17" s="18"/>
    </row>
    <row r="18" customFormat="false" ht="15" hidden="false" customHeight="false" outlineLevel="0" collapsed="false">
      <c r="A18" s="18" t="s">
        <v>89</v>
      </c>
      <c r="B18" s="20" t="s">
        <v>90</v>
      </c>
      <c r="C18" s="18"/>
      <c r="D18" s="18"/>
      <c r="E18" s="18"/>
      <c r="F18" s="18" t="s">
        <v>91</v>
      </c>
    </row>
    <row r="19" customFormat="false" ht="15" hidden="false" customHeight="false" outlineLevel="0" collapsed="false">
      <c r="A19" s="18"/>
      <c r="B19" s="18"/>
      <c r="C19" s="18"/>
      <c r="D19" s="18"/>
      <c r="E19" s="18"/>
      <c r="F19" s="18"/>
    </row>
    <row r="20" customFormat="false" ht="26.85" hidden="false" customHeight="false" outlineLevel="0" collapsed="false">
      <c r="A20" s="13" t="s">
        <v>88</v>
      </c>
      <c r="B20" s="13" t="s">
        <v>92</v>
      </c>
      <c r="C20" s="13" t="s">
        <v>93</v>
      </c>
      <c r="D20" s="18"/>
      <c r="E20" s="18"/>
      <c r="F20" s="18"/>
    </row>
    <row r="21" customFormat="false" ht="15" hidden="false" customHeight="false" outlineLevel="0" collapsed="false">
      <c r="A21" s="7" t="s">
        <v>94</v>
      </c>
      <c r="B21" s="21" t="n">
        <v>0.7</v>
      </c>
      <c r="C21" s="21" t="n">
        <v>0.9</v>
      </c>
      <c r="D21" s="18"/>
      <c r="E21" s="18"/>
      <c r="F21" s="18" t="s">
        <v>95</v>
      </c>
    </row>
    <row r="22" customFormat="false" ht="15" hidden="false" customHeight="false" outlineLevel="0" collapsed="false">
      <c r="A22" s="7" t="s">
        <v>90</v>
      </c>
      <c r="B22" s="21" t="n">
        <v>1</v>
      </c>
      <c r="C22" s="21" t="n">
        <v>1</v>
      </c>
      <c r="D22" s="18"/>
      <c r="E22" s="18"/>
      <c r="F22" s="18"/>
    </row>
    <row r="23" customFormat="false" ht="15" hidden="false" customHeight="false" outlineLevel="0" collapsed="false">
      <c r="A23" s="7" t="s">
        <v>96</v>
      </c>
      <c r="B23" s="21" t="n">
        <v>1.3</v>
      </c>
      <c r="C23" s="21" t="n">
        <v>1.1</v>
      </c>
      <c r="D23" s="18"/>
      <c r="E23" s="18"/>
      <c r="F23" s="18"/>
    </row>
    <row r="24" customFormat="false" ht="15" hidden="false" customHeight="false" outlineLevel="0" collapsed="false">
      <c r="A24" s="18"/>
      <c r="B24" s="18"/>
      <c r="C24" s="18"/>
      <c r="D24" s="18"/>
      <c r="E24" s="18"/>
      <c r="F24" s="18"/>
    </row>
    <row r="25" customFormat="false" ht="15" hidden="false" customHeight="false" outlineLevel="0" collapsed="false">
      <c r="A25" s="18" t="s">
        <v>97</v>
      </c>
      <c r="B25" s="22" t="n">
        <f aca="false">INDEX($B$21:$B$23,MATCH($B$18,$A$21:$A$23,0))</f>
        <v>1</v>
      </c>
      <c r="C25" s="18"/>
      <c r="D25" s="18"/>
      <c r="E25" s="18"/>
      <c r="F25" s="18"/>
    </row>
    <row r="26" customFormat="false" ht="15" hidden="false" customHeight="false" outlineLevel="0" collapsed="false">
      <c r="A26" s="18" t="s">
        <v>98</v>
      </c>
      <c r="B26" s="22" t="n">
        <f aca="false">INDEX($C$21:$C$23,MATCH($B$18,$A$21:$A$23,0))</f>
        <v>1</v>
      </c>
      <c r="C26" s="18"/>
      <c r="D26" s="18"/>
      <c r="E26" s="18"/>
      <c r="F26" s="18"/>
    </row>
    <row r="27" customFormat="false" ht="15" hidden="false" customHeight="false" outlineLevel="0" collapsed="false">
      <c r="A27" s="18"/>
      <c r="B27" s="18"/>
      <c r="C27" s="18"/>
      <c r="D27" s="18"/>
      <c r="E27" s="18"/>
      <c r="F27" s="18"/>
    </row>
    <row r="28" customFormat="false" ht="15" hidden="false" customHeight="false" outlineLevel="0" collapsed="false">
      <c r="A28" s="18" t="s">
        <v>99</v>
      </c>
      <c r="B28" s="23" t="n">
        <v>0.012</v>
      </c>
      <c r="C28" s="18"/>
      <c r="D28" s="18"/>
      <c r="E28" s="18" t="s">
        <v>77</v>
      </c>
      <c r="F28" s="18" t="s">
        <v>100</v>
      </c>
    </row>
  </sheetData>
  <dataValidations count="1">
    <dataValidation allowBlank="false" errorStyle="stop" operator="between" showDropDown="false" showErrorMessage="false" showInputMessage="false" sqref="B18" type="list">
      <formula1>"Pessimista,Base,Otimista"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6" min="4" style="0" width="16"/>
    <col collapsed="false" customWidth="true" hidden="false" outlineLevel="0" max="7" min="7" style="0" width="14"/>
    <col collapsed="false" customWidth="true" hidden="false" outlineLevel="0" max="13" min="8" style="0" width="16"/>
    <col collapsed="false" customWidth="true" hidden="false" outlineLevel="0" max="14" min="14" style="0" width="12"/>
  </cols>
  <sheetData>
    <row r="1" customFormat="false" ht="17.35" hidden="false" customHeight="false" outlineLevel="0" collapsed="false">
      <c r="A1" s="1" t="s">
        <v>101</v>
      </c>
    </row>
    <row r="2" customFormat="false" ht="15" hidden="false" customHeight="false" outlineLevel="0" collapsed="false">
      <c r="A2" s="0" t="s">
        <v>25</v>
      </c>
      <c r="B2" s="5" t="str">
        <f aca="false">Premissas!$B$18</f>
        <v>Base</v>
      </c>
    </row>
    <row r="4" customFormat="false" ht="45" hidden="false" customHeight="true" outlineLevel="0" collapsed="false">
      <c r="A4" s="6" t="s">
        <v>102</v>
      </c>
      <c r="B4" s="6" t="s">
        <v>103</v>
      </c>
      <c r="C4" s="6" t="s">
        <v>104</v>
      </c>
      <c r="D4" s="6" t="s">
        <v>105</v>
      </c>
      <c r="E4" s="6" t="s">
        <v>106</v>
      </c>
      <c r="F4" s="6" t="s">
        <v>107</v>
      </c>
      <c r="G4" s="6" t="s">
        <v>108</v>
      </c>
      <c r="H4" s="6" t="s">
        <v>109</v>
      </c>
      <c r="I4" s="6" t="s">
        <v>110</v>
      </c>
      <c r="J4" s="6" t="s">
        <v>111</v>
      </c>
      <c r="K4" s="6" t="s">
        <v>112</v>
      </c>
      <c r="L4" s="6" t="s">
        <v>113</v>
      </c>
      <c r="M4" s="6" t="s">
        <v>114</v>
      </c>
      <c r="N4" s="6" t="s">
        <v>115</v>
      </c>
    </row>
    <row r="5" customFormat="false" ht="15" hidden="false" customHeight="false" outlineLevel="0" collapsed="false">
      <c r="A5" s="24" t="n">
        <v>0</v>
      </c>
      <c r="B5" s="25" t="n">
        <v>0</v>
      </c>
      <c r="C5" s="25" t="n">
        <v>0</v>
      </c>
      <c r="D5" s="26" t="n">
        <v>0</v>
      </c>
      <c r="E5" s="26" t="n">
        <v>0</v>
      </c>
      <c r="F5" s="26" t="n">
        <v>0</v>
      </c>
      <c r="G5" s="26" t="n">
        <v>0</v>
      </c>
      <c r="H5" s="26" t="n">
        <v>0</v>
      </c>
      <c r="I5" s="26" t="n">
        <v>0</v>
      </c>
      <c r="J5" s="26" t="n">
        <v>0</v>
      </c>
      <c r="K5" s="26" t="n">
        <v>0</v>
      </c>
      <c r="L5" s="27" t="n">
        <f aca="false">-Premissas!$B$5</f>
        <v>-25000</v>
      </c>
      <c r="M5" s="26" t="n">
        <f aca="false">L5</f>
        <v>-25000</v>
      </c>
      <c r="N5" s="24" t="n">
        <f aca="false">IF(M5&gt;=0,1,0)</f>
        <v>0</v>
      </c>
    </row>
    <row r="6" customFormat="false" ht="15" hidden="false" customHeight="false" outlineLevel="0" collapsed="false">
      <c r="A6" s="24" t="n">
        <f aca="false">A5+1</f>
        <v>1</v>
      </c>
      <c r="B6" s="25" t="n">
        <f aca="false">MIN(Premissas!$B$10,B5*(1-Premissas!$B$11)+IF(A6=1,Premissas!$B$8,Premissas!$B$9*Premissas!$B$25))</f>
        <v>2</v>
      </c>
      <c r="C6" s="25" t="n">
        <f aca="false">MAX(0,B6-B5*(1-Premissas!$B$11))</f>
        <v>2</v>
      </c>
      <c r="D6" s="26" t="n">
        <f aca="false">B6*Premissas!$B$6*Premissas!$B$26</f>
        <v>3000</v>
      </c>
      <c r="E6" s="26" t="n">
        <f aca="false">C6*Premissas!$B$7*Premissas!$B$26</f>
        <v>2000</v>
      </c>
      <c r="F6" s="26" t="n">
        <f aca="false">D6+E6</f>
        <v>5000</v>
      </c>
      <c r="G6" s="26" t="n">
        <f aca="false">F6*Premissas!$B$13</f>
        <v>300</v>
      </c>
      <c r="H6" s="26" t="n">
        <f aca="false">F6*Premissas!$B$12</f>
        <v>1500</v>
      </c>
      <c r="I6" s="26" t="n">
        <f aca="false">F6-G6-H6</f>
        <v>3200</v>
      </c>
      <c r="J6" s="26" t="n">
        <f aca="false">Premissas!$B$14+Premissas!$B$15</f>
        <v>8000</v>
      </c>
      <c r="K6" s="26" t="n">
        <f aca="false">I6-J6</f>
        <v>-4800</v>
      </c>
      <c r="L6" s="26" t="n">
        <f aca="false">K6</f>
        <v>-4800</v>
      </c>
      <c r="M6" s="26" t="n">
        <f aca="false">M5+L6</f>
        <v>-29800</v>
      </c>
      <c r="N6" s="24" t="n">
        <f aca="false">IF(M6&gt;=0,1,0)</f>
        <v>0</v>
      </c>
    </row>
    <row r="7" customFormat="false" ht="15" hidden="false" customHeight="false" outlineLevel="0" collapsed="false">
      <c r="A7" s="24" t="n">
        <f aca="false">A6+1</f>
        <v>2</v>
      </c>
      <c r="B7" s="25" t="n">
        <f aca="false">MIN(Premissas!$B$10,B6*(1-Premissas!$B$11)+IF(A7=1,Premissas!$B$8,Premissas!$B$9*Premissas!$B$25))</f>
        <v>3.96</v>
      </c>
      <c r="C7" s="25" t="n">
        <f aca="false">MAX(0,B7-B6*(1-Premissas!$B$11))</f>
        <v>2</v>
      </c>
      <c r="D7" s="26" t="n">
        <f aca="false">B7*Premissas!$B$6*Premissas!$B$26</f>
        <v>5940</v>
      </c>
      <c r="E7" s="26" t="n">
        <f aca="false">C7*Premissas!$B$7*Premissas!$B$26</f>
        <v>2000</v>
      </c>
      <c r="F7" s="26" t="n">
        <f aca="false">D7+E7</f>
        <v>7940</v>
      </c>
      <c r="G7" s="26" t="n">
        <f aca="false">F7*Premissas!$B$13</f>
        <v>476.4</v>
      </c>
      <c r="H7" s="26" t="n">
        <f aca="false">F7*Premissas!$B$12</f>
        <v>2382</v>
      </c>
      <c r="I7" s="26" t="n">
        <f aca="false">F7-G7-H7</f>
        <v>5081.6</v>
      </c>
      <c r="J7" s="26" t="n">
        <f aca="false">Premissas!$B$14+Premissas!$B$15</f>
        <v>8000</v>
      </c>
      <c r="K7" s="26" t="n">
        <f aca="false">I7-J7</f>
        <v>-2918.4</v>
      </c>
      <c r="L7" s="26" t="n">
        <f aca="false">K7</f>
        <v>-2918.4</v>
      </c>
      <c r="M7" s="26" t="n">
        <f aca="false">M6+L7</f>
        <v>-32718.4</v>
      </c>
      <c r="N7" s="24" t="n">
        <f aca="false">IF(M7&gt;=0,1,0)</f>
        <v>0</v>
      </c>
    </row>
    <row r="8" customFormat="false" ht="15" hidden="false" customHeight="false" outlineLevel="0" collapsed="false">
      <c r="A8" s="24" t="n">
        <f aca="false">A7+1</f>
        <v>3</v>
      </c>
      <c r="B8" s="25" t="n">
        <f aca="false">MIN(Premissas!$B$10,B7*(1-Premissas!$B$11)+IF(A8=1,Premissas!$B$8,Premissas!$B$9*Premissas!$B$25))</f>
        <v>5.8808</v>
      </c>
      <c r="C8" s="25" t="n">
        <f aca="false">MAX(0,B8-B7*(1-Premissas!$B$11))</f>
        <v>2</v>
      </c>
      <c r="D8" s="26" t="n">
        <f aca="false">B8*Premissas!$B$6*Premissas!$B$26</f>
        <v>8821.2</v>
      </c>
      <c r="E8" s="26" t="n">
        <f aca="false">C8*Premissas!$B$7*Premissas!$B$26</f>
        <v>2000</v>
      </c>
      <c r="F8" s="26" t="n">
        <f aca="false">D8+E8</f>
        <v>10821.2</v>
      </c>
      <c r="G8" s="26" t="n">
        <f aca="false">F8*Premissas!$B$13</f>
        <v>649.272</v>
      </c>
      <c r="H8" s="26" t="n">
        <f aca="false">F8*Premissas!$B$12</f>
        <v>3246.36</v>
      </c>
      <c r="I8" s="26" t="n">
        <f aca="false">F8-G8-H8</f>
        <v>6925.568</v>
      </c>
      <c r="J8" s="26" t="n">
        <f aca="false">Premissas!$B$14+Premissas!$B$15</f>
        <v>8000</v>
      </c>
      <c r="K8" s="26" t="n">
        <f aca="false">I8-J8</f>
        <v>-1074.432</v>
      </c>
      <c r="L8" s="26" t="n">
        <f aca="false">K8</f>
        <v>-1074.432</v>
      </c>
      <c r="M8" s="26" t="n">
        <f aca="false">M7+L8</f>
        <v>-33792.832</v>
      </c>
      <c r="N8" s="24" t="n">
        <f aca="false">IF(M8&gt;=0,1,0)</f>
        <v>0</v>
      </c>
    </row>
    <row r="9" customFormat="false" ht="15" hidden="false" customHeight="false" outlineLevel="0" collapsed="false">
      <c r="A9" s="24" t="n">
        <f aca="false">A8+1</f>
        <v>4</v>
      </c>
      <c r="B9" s="25" t="n">
        <f aca="false">MIN(Premissas!$B$10,B8*(1-Premissas!$B$11)+IF(A9=1,Premissas!$B$8,Premissas!$B$9*Premissas!$B$25))</f>
        <v>7.763184</v>
      </c>
      <c r="C9" s="25" t="n">
        <f aca="false">MAX(0,B9-B8*(1-Premissas!$B$11))</f>
        <v>2</v>
      </c>
      <c r="D9" s="26" t="n">
        <f aca="false">B9*Premissas!$B$6*Premissas!$B$26</f>
        <v>11644.776</v>
      </c>
      <c r="E9" s="26" t="n">
        <f aca="false">C9*Premissas!$B$7*Premissas!$B$26</f>
        <v>2000</v>
      </c>
      <c r="F9" s="26" t="n">
        <f aca="false">D9+E9</f>
        <v>13644.776</v>
      </c>
      <c r="G9" s="26" t="n">
        <f aca="false">F9*Premissas!$B$13</f>
        <v>818.68656</v>
      </c>
      <c r="H9" s="26" t="n">
        <f aca="false">F9*Premissas!$B$12</f>
        <v>4093.4328</v>
      </c>
      <c r="I9" s="26" t="n">
        <f aca="false">F9-G9-H9</f>
        <v>8732.65664</v>
      </c>
      <c r="J9" s="26" t="n">
        <f aca="false">Premissas!$B$14+Premissas!$B$15</f>
        <v>8000</v>
      </c>
      <c r="K9" s="26" t="n">
        <f aca="false">I9-J9</f>
        <v>732.656640000001</v>
      </c>
      <c r="L9" s="26" t="n">
        <f aca="false">K9</f>
        <v>732.656640000001</v>
      </c>
      <c r="M9" s="26" t="n">
        <f aca="false">M8+L9</f>
        <v>-33060.17536</v>
      </c>
      <c r="N9" s="24" t="n">
        <f aca="false">IF(M9&gt;=0,1,0)</f>
        <v>0</v>
      </c>
    </row>
    <row r="10" customFormat="false" ht="15" hidden="false" customHeight="false" outlineLevel="0" collapsed="false">
      <c r="A10" s="24" t="n">
        <f aca="false">A9+1</f>
        <v>5</v>
      </c>
      <c r="B10" s="25" t="n">
        <f aca="false">MIN(Premissas!$B$10,B9*(1-Premissas!$B$11)+IF(A10=1,Premissas!$B$8,Premissas!$B$9*Premissas!$B$25))</f>
        <v>9.60792032</v>
      </c>
      <c r="C10" s="25" t="n">
        <f aca="false">MAX(0,B10-B9*(1-Premissas!$B$11))</f>
        <v>2</v>
      </c>
      <c r="D10" s="26" t="n">
        <f aca="false">B10*Premissas!$B$6*Premissas!$B$26</f>
        <v>14411.88048</v>
      </c>
      <c r="E10" s="26" t="n">
        <f aca="false">C10*Premissas!$B$7*Premissas!$B$26</f>
        <v>2000</v>
      </c>
      <c r="F10" s="26" t="n">
        <f aca="false">D10+E10</f>
        <v>16411.88048</v>
      </c>
      <c r="G10" s="26" t="n">
        <f aca="false">F10*Premissas!$B$13</f>
        <v>984.7128288</v>
      </c>
      <c r="H10" s="26" t="n">
        <f aca="false">F10*Premissas!$B$12</f>
        <v>4923.564144</v>
      </c>
      <c r="I10" s="26" t="n">
        <f aca="false">F10-G10-H10</f>
        <v>10503.6035072</v>
      </c>
      <c r="J10" s="26" t="n">
        <f aca="false">Premissas!$B$14+Premissas!$B$15</f>
        <v>8000</v>
      </c>
      <c r="K10" s="26" t="n">
        <f aca="false">I10-J10</f>
        <v>2503.6035072</v>
      </c>
      <c r="L10" s="26" t="n">
        <f aca="false">K10</f>
        <v>2503.6035072</v>
      </c>
      <c r="M10" s="26" t="n">
        <f aca="false">M9+L10</f>
        <v>-30556.5718528</v>
      </c>
      <c r="N10" s="24" t="n">
        <f aca="false">IF(M10&gt;=0,1,0)</f>
        <v>0</v>
      </c>
    </row>
    <row r="11" customFormat="false" ht="15" hidden="false" customHeight="false" outlineLevel="0" collapsed="false">
      <c r="A11" s="24" t="n">
        <f aca="false">A10+1</f>
        <v>6</v>
      </c>
      <c r="B11" s="25" t="n">
        <f aca="false">MIN(Premissas!$B$10,B10*(1-Premissas!$B$11)+IF(A11=1,Premissas!$B$8,Premissas!$B$9*Premissas!$B$25))</f>
        <v>11.4157619136</v>
      </c>
      <c r="C11" s="25" t="n">
        <f aca="false">MAX(0,B11-B10*(1-Premissas!$B$11))</f>
        <v>2</v>
      </c>
      <c r="D11" s="26" t="n">
        <f aca="false">B11*Premissas!$B$6*Premissas!$B$26</f>
        <v>17123.6428704</v>
      </c>
      <c r="E11" s="26" t="n">
        <f aca="false">C11*Premissas!$B$7*Premissas!$B$26</f>
        <v>2000</v>
      </c>
      <c r="F11" s="26" t="n">
        <f aca="false">D11+E11</f>
        <v>19123.6428704</v>
      </c>
      <c r="G11" s="26" t="n">
        <f aca="false">F11*Premissas!$B$13</f>
        <v>1147.418572224</v>
      </c>
      <c r="H11" s="26" t="n">
        <f aca="false">F11*Premissas!$B$12</f>
        <v>5737.09286112</v>
      </c>
      <c r="I11" s="26" t="n">
        <f aca="false">F11-G11-H11</f>
        <v>12239.131437056</v>
      </c>
      <c r="J11" s="26" t="n">
        <f aca="false">Premissas!$B$14+Premissas!$B$15</f>
        <v>8000</v>
      </c>
      <c r="K11" s="26" t="n">
        <f aca="false">I11-J11</f>
        <v>4239.131437056</v>
      </c>
      <c r="L11" s="26" t="n">
        <f aca="false">K11</f>
        <v>4239.131437056</v>
      </c>
      <c r="M11" s="26" t="n">
        <f aca="false">M10+L11</f>
        <v>-26317.440415744</v>
      </c>
      <c r="N11" s="24" t="n">
        <f aca="false">IF(M11&gt;=0,1,0)</f>
        <v>0</v>
      </c>
    </row>
    <row r="12" customFormat="false" ht="15" hidden="false" customHeight="false" outlineLevel="0" collapsed="false">
      <c r="A12" s="24" t="n">
        <f aca="false">A11+1</f>
        <v>7</v>
      </c>
      <c r="B12" s="25" t="n">
        <f aca="false">MIN(Premissas!$B$10,B11*(1-Premissas!$B$11)+IF(A12=1,Premissas!$B$8,Premissas!$B$9*Premissas!$B$25))</f>
        <v>13.187446675328</v>
      </c>
      <c r="C12" s="25" t="n">
        <f aca="false">MAX(0,B12-B11*(1-Premissas!$B$11))</f>
        <v>2</v>
      </c>
      <c r="D12" s="26" t="n">
        <f aca="false">B12*Premissas!$B$6*Premissas!$B$26</f>
        <v>19781.170012992</v>
      </c>
      <c r="E12" s="26" t="n">
        <f aca="false">C12*Premissas!$B$7*Premissas!$B$26</f>
        <v>2000</v>
      </c>
      <c r="F12" s="26" t="n">
        <f aca="false">D12+E12</f>
        <v>21781.170012992</v>
      </c>
      <c r="G12" s="26" t="n">
        <f aca="false">F12*Premissas!$B$13</f>
        <v>1306.87020077952</v>
      </c>
      <c r="H12" s="26" t="n">
        <f aca="false">F12*Premissas!$B$12</f>
        <v>6534.3510038976</v>
      </c>
      <c r="I12" s="26" t="n">
        <f aca="false">F12-G12-H12</f>
        <v>13939.9488083149</v>
      </c>
      <c r="J12" s="26" t="n">
        <f aca="false">Premissas!$B$14+Premissas!$B$15</f>
        <v>8000</v>
      </c>
      <c r="K12" s="26" t="n">
        <f aca="false">I12-J12</f>
        <v>5939.94880831488</v>
      </c>
      <c r="L12" s="26" t="n">
        <f aca="false">K12</f>
        <v>5939.94880831488</v>
      </c>
      <c r="M12" s="26" t="n">
        <f aca="false">M11+L12</f>
        <v>-20377.4916074291</v>
      </c>
      <c r="N12" s="24" t="n">
        <f aca="false">IF(M12&gt;=0,1,0)</f>
        <v>0</v>
      </c>
    </row>
    <row r="13" customFormat="false" ht="15" hidden="false" customHeight="false" outlineLevel="0" collapsed="false">
      <c r="A13" s="24" t="n">
        <f aca="false">A12+1</f>
        <v>8</v>
      </c>
      <c r="B13" s="25" t="n">
        <f aca="false">MIN(Premissas!$B$10,B12*(1-Premissas!$B$11)+IF(A13=1,Premissas!$B$8,Premissas!$B$9*Premissas!$B$25))</f>
        <v>14.9236977418214</v>
      </c>
      <c r="C13" s="25" t="n">
        <f aca="false">MAX(0,B13-B12*(1-Premissas!$B$11))</f>
        <v>2</v>
      </c>
      <c r="D13" s="26" t="n">
        <f aca="false">B13*Premissas!$B$6*Premissas!$B$26</f>
        <v>22385.5466127322</v>
      </c>
      <c r="E13" s="26" t="n">
        <f aca="false">C13*Premissas!$B$7*Premissas!$B$26</f>
        <v>2000</v>
      </c>
      <c r="F13" s="26" t="n">
        <f aca="false">D13+E13</f>
        <v>24385.5466127322</v>
      </c>
      <c r="G13" s="26" t="n">
        <f aca="false">F13*Premissas!$B$13</f>
        <v>1463.13279676393</v>
      </c>
      <c r="H13" s="26" t="n">
        <f aca="false">F13*Premissas!$B$12</f>
        <v>7315.66398381965</v>
      </c>
      <c r="I13" s="26" t="n">
        <f aca="false">F13-G13-H13</f>
        <v>15606.7498321486</v>
      </c>
      <c r="J13" s="26" t="n">
        <f aca="false">Premissas!$B$14+Premissas!$B$15</f>
        <v>8000</v>
      </c>
      <c r="K13" s="26" t="n">
        <f aca="false">I13-J13</f>
        <v>7606.74983214858</v>
      </c>
      <c r="L13" s="26" t="n">
        <f aca="false">K13</f>
        <v>7606.74983214858</v>
      </c>
      <c r="M13" s="26" t="n">
        <f aca="false">M12+L13</f>
        <v>-12770.7417752805</v>
      </c>
      <c r="N13" s="24" t="n">
        <f aca="false">IF(M13&gt;=0,1,0)</f>
        <v>0</v>
      </c>
    </row>
    <row r="14" customFormat="false" ht="15" hidden="false" customHeight="false" outlineLevel="0" collapsed="false">
      <c r="A14" s="24" t="n">
        <f aca="false">A13+1</f>
        <v>9</v>
      </c>
      <c r="B14" s="25" t="n">
        <f aca="false">MIN(Premissas!$B$10,B13*(1-Premissas!$B$11)+IF(A14=1,Premissas!$B$8,Premissas!$B$9*Premissas!$B$25))</f>
        <v>16.625223786985</v>
      </c>
      <c r="C14" s="25" t="n">
        <f aca="false">MAX(0,B14-B13*(1-Premissas!$B$11))</f>
        <v>2</v>
      </c>
      <c r="D14" s="26" t="n">
        <f aca="false">B14*Premissas!$B$6*Premissas!$B$26</f>
        <v>24937.8356804775</v>
      </c>
      <c r="E14" s="26" t="n">
        <f aca="false">C14*Premissas!$B$7*Premissas!$B$26</f>
        <v>2000</v>
      </c>
      <c r="F14" s="26" t="n">
        <f aca="false">D14+E14</f>
        <v>26937.8356804775</v>
      </c>
      <c r="G14" s="26" t="n">
        <f aca="false">F14*Premissas!$B$13</f>
        <v>1616.27014082865</v>
      </c>
      <c r="H14" s="26" t="n">
        <f aca="false">F14*Premissas!$B$12</f>
        <v>8081.35070414326</v>
      </c>
      <c r="I14" s="26" t="n">
        <f aca="false">F14-G14-H14</f>
        <v>17240.2148355056</v>
      </c>
      <c r="J14" s="26" t="n">
        <f aca="false">Premissas!$B$14+Premissas!$B$15</f>
        <v>8000</v>
      </c>
      <c r="K14" s="26" t="n">
        <f aca="false">I14-J14</f>
        <v>9240.21483550561</v>
      </c>
      <c r="L14" s="26" t="n">
        <f aca="false">K14</f>
        <v>9240.21483550561</v>
      </c>
      <c r="M14" s="26" t="n">
        <f aca="false">M13+L14</f>
        <v>-3530.52693977492</v>
      </c>
      <c r="N14" s="24" t="n">
        <f aca="false">IF(M14&gt;=0,1,0)</f>
        <v>0</v>
      </c>
    </row>
    <row r="15" customFormat="false" ht="15" hidden="false" customHeight="false" outlineLevel="0" collapsed="false">
      <c r="A15" s="24" t="n">
        <f aca="false">A14+1</f>
        <v>10</v>
      </c>
      <c r="B15" s="25" t="n">
        <f aca="false">MIN(Premissas!$B$10,B14*(1-Premissas!$B$11)+IF(A15=1,Premissas!$B$8,Premissas!$B$9*Premissas!$B$25))</f>
        <v>18.2927193112453</v>
      </c>
      <c r="C15" s="25" t="n">
        <f aca="false">MAX(0,B15-B14*(1-Premissas!$B$11))</f>
        <v>2</v>
      </c>
      <c r="D15" s="26" t="n">
        <f aca="false">B15*Premissas!$B$6*Premissas!$B$26</f>
        <v>27439.078966868</v>
      </c>
      <c r="E15" s="26" t="n">
        <f aca="false">C15*Premissas!$B$7*Premissas!$B$26</f>
        <v>2000</v>
      </c>
      <c r="F15" s="26" t="n">
        <f aca="false">D15+E15</f>
        <v>29439.078966868</v>
      </c>
      <c r="G15" s="26" t="n">
        <f aca="false">F15*Premissas!$B$13</f>
        <v>1766.34473801208</v>
      </c>
      <c r="H15" s="26" t="n">
        <f aca="false">F15*Premissas!$B$12</f>
        <v>8831.72369006039</v>
      </c>
      <c r="I15" s="26" t="n">
        <f aca="false">F15-G15-H15</f>
        <v>18841.0105387955</v>
      </c>
      <c r="J15" s="26" t="n">
        <f aca="false">Premissas!$B$14+Premissas!$B$15</f>
        <v>8000</v>
      </c>
      <c r="K15" s="26" t="n">
        <f aca="false">I15-J15</f>
        <v>10841.0105387955</v>
      </c>
      <c r="L15" s="26" t="n">
        <f aca="false">K15</f>
        <v>10841.0105387955</v>
      </c>
      <c r="M15" s="26" t="n">
        <f aca="false">M14+L15</f>
        <v>7310.48359902057</v>
      </c>
      <c r="N15" s="24" t="n">
        <f aca="false">IF(M15&gt;=0,1,0)</f>
        <v>1</v>
      </c>
    </row>
    <row r="16" customFormat="false" ht="15" hidden="false" customHeight="false" outlineLevel="0" collapsed="false">
      <c r="A16" s="24" t="n">
        <f aca="false">A15+1</f>
        <v>11</v>
      </c>
      <c r="B16" s="25" t="n">
        <f aca="false">MIN(Premissas!$B$10,B15*(1-Premissas!$B$11)+IF(A16=1,Premissas!$B$8,Premissas!$B$9*Premissas!$B$25))</f>
        <v>19.9268649250204</v>
      </c>
      <c r="C16" s="25" t="n">
        <f aca="false">MAX(0,B16-B15*(1-Premissas!$B$11))</f>
        <v>2</v>
      </c>
      <c r="D16" s="26" t="n">
        <f aca="false">B16*Premissas!$B$6*Premissas!$B$26</f>
        <v>29890.2973875306</v>
      </c>
      <c r="E16" s="26" t="n">
        <f aca="false">C16*Premissas!$B$7*Premissas!$B$26</f>
        <v>2000</v>
      </c>
      <c r="F16" s="26" t="n">
        <f aca="false">D16+E16</f>
        <v>31890.2973875306</v>
      </c>
      <c r="G16" s="26" t="n">
        <f aca="false">F16*Premissas!$B$13</f>
        <v>1913.41784325184</v>
      </c>
      <c r="H16" s="26" t="n">
        <f aca="false">F16*Premissas!$B$12</f>
        <v>9567.08921625918</v>
      </c>
      <c r="I16" s="26" t="n">
        <f aca="false">F16-G16-H16</f>
        <v>20409.7903280196</v>
      </c>
      <c r="J16" s="26" t="n">
        <f aca="false">Premissas!$B$14+Premissas!$B$15</f>
        <v>8000</v>
      </c>
      <c r="K16" s="26" t="n">
        <f aca="false">I16-J16</f>
        <v>12409.7903280196</v>
      </c>
      <c r="L16" s="26" t="n">
        <f aca="false">K16</f>
        <v>12409.7903280196</v>
      </c>
      <c r="M16" s="26" t="n">
        <f aca="false">M15+L16</f>
        <v>19720.2739270402</v>
      </c>
      <c r="N16" s="24" t="n">
        <f aca="false">IF(M16&gt;=0,1,0)</f>
        <v>1</v>
      </c>
    </row>
    <row r="17" customFormat="false" ht="15" hidden="false" customHeight="false" outlineLevel="0" collapsed="false">
      <c r="A17" s="28" t="n">
        <f aca="false">A16+1</f>
        <v>12</v>
      </c>
      <c r="B17" s="29" t="n">
        <f aca="false">MIN(Premissas!$B$10,B16*(1-Premissas!$B$11)+IF(A17=1,Premissas!$B$8,Premissas!$B$9*Premissas!$B$25))</f>
        <v>21.52832762652</v>
      </c>
      <c r="C17" s="29" t="n">
        <f aca="false">MAX(0,B17-B16*(1-Premissas!$B$11))</f>
        <v>2</v>
      </c>
      <c r="D17" s="30" t="n">
        <f aca="false">B17*Premissas!$B$6*Premissas!$B$26</f>
        <v>32292.49143978</v>
      </c>
      <c r="E17" s="30" t="n">
        <f aca="false">C17*Premissas!$B$7*Premissas!$B$26</f>
        <v>2000</v>
      </c>
      <c r="F17" s="30" t="n">
        <f aca="false">D17+E17</f>
        <v>34292.49143978</v>
      </c>
      <c r="G17" s="30" t="n">
        <f aca="false">F17*Premissas!$B$13</f>
        <v>2057.5494863868</v>
      </c>
      <c r="H17" s="30" t="n">
        <f aca="false">F17*Premissas!$B$12</f>
        <v>10287.747431934</v>
      </c>
      <c r="I17" s="30" t="n">
        <f aca="false">F17-G17-H17</f>
        <v>21947.1945214592</v>
      </c>
      <c r="J17" s="30" t="n">
        <f aca="false">Premissas!$B$14+Premissas!$B$15</f>
        <v>8000</v>
      </c>
      <c r="K17" s="30" t="n">
        <f aca="false">I17-J17</f>
        <v>13947.1945214592</v>
      </c>
      <c r="L17" s="30" t="n">
        <f aca="false">K17</f>
        <v>13947.1945214592</v>
      </c>
      <c r="M17" s="30" t="n">
        <f aca="false">M16+L17</f>
        <v>33667.4684484994</v>
      </c>
      <c r="N17" s="28" t="n">
        <f aca="false">IF(M17&gt;=0,1,0)</f>
        <v>1</v>
      </c>
    </row>
    <row r="18" customFormat="false" ht="15" hidden="false" customHeight="false" outlineLevel="0" collapsed="false">
      <c r="A18" s="24" t="n">
        <f aca="false">A17+1</f>
        <v>13</v>
      </c>
      <c r="B18" s="25" t="n">
        <f aca="false">MIN(Premissas!$B$10,B17*(1-Premissas!$B$11)+IF(A18=1,Premissas!$B$8,Premissas!$B$9*Premissas!$B$25))</f>
        <v>23.0977610739896</v>
      </c>
      <c r="C18" s="25" t="n">
        <f aca="false">MAX(0,B18-B17*(1-Premissas!$B$11))</f>
        <v>2</v>
      </c>
      <c r="D18" s="26" t="n">
        <f aca="false">B18*Premissas!$B$6*Premissas!$B$26</f>
        <v>34646.6416109844</v>
      </c>
      <c r="E18" s="26" t="n">
        <f aca="false">C18*Premissas!$B$7*Premissas!$B$26</f>
        <v>2000</v>
      </c>
      <c r="F18" s="26" t="n">
        <f aca="false">D18+E18</f>
        <v>36646.6416109844</v>
      </c>
      <c r="G18" s="26" t="n">
        <f aca="false">F18*Premissas!$B$13</f>
        <v>2198.79849665906</v>
      </c>
      <c r="H18" s="26" t="n">
        <f aca="false">F18*Premissas!$B$12</f>
        <v>10993.9924832953</v>
      </c>
      <c r="I18" s="26" t="n">
        <f aca="false">F18-G18-H18</f>
        <v>23453.85063103</v>
      </c>
      <c r="J18" s="26" t="n">
        <f aca="false">Premissas!$B$14+Premissas!$B$15</f>
        <v>8000</v>
      </c>
      <c r="K18" s="26" t="n">
        <f aca="false">I18-J18</f>
        <v>15453.85063103</v>
      </c>
      <c r="L18" s="26" t="n">
        <f aca="false">K18</f>
        <v>15453.85063103</v>
      </c>
      <c r="M18" s="26" t="n">
        <f aca="false">M17+L18</f>
        <v>49121.3190795294</v>
      </c>
      <c r="N18" s="24" t="n">
        <f aca="false">IF(M18&gt;=0,1,0)</f>
        <v>1</v>
      </c>
    </row>
    <row r="19" customFormat="false" ht="15" hidden="false" customHeight="false" outlineLevel="0" collapsed="false">
      <c r="A19" s="24" t="n">
        <f aca="false">A18+1</f>
        <v>14</v>
      </c>
      <c r="B19" s="25" t="n">
        <f aca="false">MIN(Premissas!$B$10,B18*(1-Premissas!$B$11)+IF(A19=1,Premissas!$B$8,Premissas!$B$9*Premissas!$B$25))</f>
        <v>24.6358058525098</v>
      </c>
      <c r="C19" s="25" t="n">
        <f aca="false">MAX(0,B19-B18*(1-Premissas!$B$11))</f>
        <v>2</v>
      </c>
      <c r="D19" s="26" t="n">
        <f aca="false">B19*Premissas!$B$6*Premissas!$B$26</f>
        <v>36953.7087787647</v>
      </c>
      <c r="E19" s="26" t="n">
        <f aca="false">C19*Premissas!$B$7*Premissas!$B$26</f>
        <v>2000</v>
      </c>
      <c r="F19" s="26" t="n">
        <f aca="false">D19+E19</f>
        <v>38953.7087787647</v>
      </c>
      <c r="G19" s="26" t="n">
        <f aca="false">F19*Premissas!$B$13</f>
        <v>2337.22252672588</v>
      </c>
      <c r="H19" s="26" t="n">
        <f aca="false">F19*Premissas!$B$12</f>
        <v>11686.1126336294</v>
      </c>
      <c r="I19" s="26" t="n">
        <f aca="false">F19-G19-H19</f>
        <v>24930.3736184094</v>
      </c>
      <c r="J19" s="26" t="n">
        <f aca="false">Premissas!$B$14+Premissas!$B$15</f>
        <v>8000</v>
      </c>
      <c r="K19" s="26" t="n">
        <f aca="false">I19-J19</f>
        <v>16930.3736184094</v>
      </c>
      <c r="L19" s="26" t="n">
        <f aca="false">K19</f>
        <v>16930.3736184094</v>
      </c>
      <c r="M19" s="26" t="n">
        <f aca="false">M18+L19</f>
        <v>66051.6926979388</v>
      </c>
      <c r="N19" s="24" t="n">
        <f aca="false">IF(M19&gt;=0,1,0)</f>
        <v>1</v>
      </c>
    </row>
    <row r="20" customFormat="false" ht="15" hidden="false" customHeight="false" outlineLevel="0" collapsed="false">
      <c r="A20" s="24" t="n">
        <f aca="false">A19+1</f>
        <v>15</v>
      </c>
      <c r="B20" s="25" t="n">
        <f aca="false">MIN(Premissas!$B$10,B19*(1-Premissas!$B$11)+IF(A20=1,Premissas!$B$8,Premissas!$B$9*Premissas!$B$25))</f>
        <v>26.1430897354596</v>
      </c>
      <c r="C20" s="25" t="n">
        <f aca="false">MAX(0,B20-B19*(1-Premissas!$B$11))</f>
        <v>2</v>
      </c>
      <c r="D20" s="26" t="n">
        <f aca="false">B20*Premissas!$B$6*Premissas!$B$26</f>
        <v>39214.6346031894</v>
      </c>
      <c r="E20" s="26" t="n">
        <f aca="false">C20*Premissas!$B$7*Premissas!$B$26</f>
        <v>2000</v>
      </c>
      <c r="F20" s="26" t="n">
        <f aca="false">D20+E20</f>
        <v>41214.6346031894</v>
      </c>
      <c r="G20" s="26" t="n">
        <f aca="false">F20*Premissas!$B$13</f>
        <v>2472.87807619137</v>
      </c>
      <c r="H20" s="26" t="n">
        <f aca="false">F20*Premissas!$B$12</f>
        <v>12364.3903809568</v>
      </c>
      <c r="I20" s="26" t="n">
        <f aca="false">F20-G20-H20</f>
        <v>26377.3661460412</v>
      </c>
      <c r="J20" s="26" t="n">
        <f aca="false">Premissas!$B$14+Premissas!$B$15</f>
        <v>8000</v>
      </c>
      <c r="K20" s="26" t="n">
        <f aca="false">I20-J20</f>
        <v>18377.3661460412</v>
      </c>
      <c r="L20" s="26" t="n">
        <f aca="false">K20</f>
        <v>18377.3661460412</v>
      </c>
      <c r="M20" s="26" t="n">
        <f aca="false">M19+L20</f>
        <v>84429.05884398</v>
      </c>
      <c r="N20" s="24" t="n">
        <f aca="false">IF(M20&gt;=0,1,0)</f>
        <v>1</v>
      </c>
    </row>
    <row r="21" customFormat="false" ht="15" hidden="false" customHeight="false" outlineLevel="0" collapsed="false">
      <c r="A21" s="24" t="n">
        <f aca="false">A20+1</f>
        <v>16</v>
      </c>
      <c r="B21" s="25" t="n">
        <f aca="false">MIN(Premissas!$B$10,B20*(1-Premissas!$B$11)+IF(A21=1,Premissas!$B$8,Premissas!$B$9*Premissas!$B$25))</f>
        <v>27.6202279407504</v>
      </c>
      <c r="C21" s="25" t="n">
        <f aca="false">MAX(0,B21-B20*(1-Premissas!$B$11))</f>
        <v>2</v>
      </c>
      <c r="D21" s="26" t="n">
        <f aca="false">B21*Premissas!$B$6*Premissas!$B$26</f>
        <v>41430.3419111256</v>
      </c>
      <c r="E21" s="26" t="n">
        <f aca="false">C21*Premissas!$B$7*Premissas!$B$26</f>
        <v>2000</v>
      </c>
      <c r="F21" s="26" t="n">
        <f aca="false">D21+E21</f>
        <v>43430.3419111256</v>
      </c>
      <c r="G21" s="26" t="n">
        <f aca="false">F21*Premissas!$B$13</f>
        <v>2605.82051466754</v>
      </c>
      <c r="H21" s="26" t="n">
        <f aca="false">F21*Premissas!$B$12</f>
        <v>13029.1025733377</v>
      </c>
      <c r="I21" s="26" t="n">
        <f aca="false">F21-G21-H21</f>
        <v>27795.4188231204</v>
      </c>
      <c r="J21" s="26" t="n">
        <f aca="false">Premissas!$B$14+Premissas!$B$15</f>
        <v>8000</v>
      </c>
      <c r="K21" s="26" t="n">
        <f aca="false">I21-J21</f>
        <v>19795.4188231204</v>
      </c>
      <c r="L21" s="26" t="n">
        <f aca="false">K21</f>
        <v>19795.4188231204</v>
      </c>
      <c r="M21" s="26" t="n">
        <f aca="false">M20+L21</f>
        <v>104224.4776671</v>
      </c>
      <c r="N21" s="24" t="n">
        <f aca="false">IF(M21&gt;=0,1,0)</f>
        <v>1</v>
      </c>
    </row>
    <row r="22" customFormat="false" ht="15" hidden="false" customHeight="false" outlineLevel="0" collapsed="false">
      <c r="A22" s="24" t="n">
        <f aca="false">A21+1</f>
        <v>17</v>
      </c>
      <c r="B22" s="25" t="n">
        <f aca="false">MIN(Premissas!$B$10,B21*(1-Premissas!$B$11)+IF(A22=1,Premissas!$B$8,Premissas!$B$9*Premissas!$B$25))</f>
        <v>29.0678233819354</v>
      </c>
      <c r="C22" s="25" t="n">
        <f aca="false">MAX(0,B22-B21*(1-Premissas!$B$11))</f>
        <v>2</v>
      </c>
      <c r="D22" s="26" t="n">
        <f aca="false">B22*Premissas!$B$6*Premissas!$B$26</f>
        <v>43601.7350729031</v>
      </c>
      <c r="E22" s="26" t="n">
        <f aca="false">C22*Premissas!$B$7*Premissas!$B$26</f>
        <v>2000</v>
      </c>
      <c r="F22" s="26" t="n">
        <f aca="false">D22+E22</f>
        <v>45601.7350729031</v>
      </c>
      <c r="G22" s="26" t="n">
        <f aca="false">F22*Premissas!$B$13</f>
        <v>2736.10410437419</v>
      </c>
      <c r="H22" s="26" t="n">
        <f aca="false">F22*Premissas!$B$12</f>
        <v>13680.5205218709</v>
      </c>
      <c r="I22" s="26" t="n">
        <f aca="false">F22-G22-H22</f>
        <v>29185.110446658</v>
      </c>
      <c r="J22" s="26" t="n">
        <f aca="false">Premissas!$B$14+Premissas!$B$15</f>
        <v>8000</v>
      </c>
      <c r="K22" s="26" t="n">
        <f aca="false">I22-J22</f>
        <v>21185.110446658</v>
      </c>
      <c r="L22" s="26" t="n">
        <f aca="false">K22</f>
        <v>21185.110446658</v>
      </c>
      <c r="M22" s="26" t="n">
        <f aca="false">M21+L22</f>
        <v>125409.588113758</v>
      </c>
      <c r="N22" s="24" t="n">
        <f aca="false">IF(M22&gt;=0,1,0)</f>
        <v>1</v>
      </c>
    </row>
    <row r="23" customFormat="false" ht="15" hidden="false" customHeight="false" outlineLevel="0" collapsed="false">
      <c r="A23" s="24" t="n">
        <f aca="false">A22+1</f>
        <v>18</v>
      </c>
      <c r="B23" s="25" t="n">
        <f aca="false">MIN(Premissas!$B$10,B22*(1-Premissas!$B$11)+IF(A23=1,Premissas!$B$8,Premissas!$B$9*Premissas!$B$25))</f>
        <v>30.4864669142967</v>
      </c>
      <c r="C23" s="25" t="n">
        <f aca="false">MAX(0,B23-B22*(1-Premissas!$B$11))</f>
        <v>2</v>
      </c>
      <c r="D23" s="26" t="n">
        <f aca="false">B23*Premissas!$B$6*Premissas!$B$26</f>
        <v>45729.700371445</v>
      </c>
      <c r="E23" s="26" t="n">
        <f aca="false">C23*Premissas!$B$7*Premissas!$B$26</f>
        <v>2000</v>
      </c>
      <c r="F23" s="26" t="n">
        <f aca="false">D23+E23</f>
        <v>47729.700371445</v>
      </c>
      <c r="G23" s="26" t="n">
        <f aca="false">F23*Premissas!$B$13</f>
        <v>2863.7820222867</v>
      </c>
      <c r="H23" s="26" t="n">
        <f aca="false">F23*Premissas!$B$12</f>
        <v>14318.9101114335</v>
      </c>
      <c r="I23" s="26" t="n">
        <f aca="false">F23-G23-H23</f>
        <v>30547.0082377248</v>
      </c>
      <c r="J23" s="26" t="n">
        <f aca="false">Premissas!$B$14+Premissas!$B$15</f>
        <v>8000</v>
      </c>
      <c r="K23" s="26" t="n">
        <f aca="false">I23-J23</f>
        <v>22547.0082377248</v>
      </c>
      <c r="L23" s="26" t="n">
        <f aca="false">K23</f>
        <v>22547.0082377248</v>
      </c>
      <c r="M23" s="26" t="n">
        <f aca="false">M22+L23</f>
        <v>147956.596351483</v>
      </c>
      <c r="N23" s="24" t="n">
        <f aca="false">IF(M23&gt;=0,1,0)</f>
        <v>1</v>
      </c>
    </row>
    <row r="24" customFormat="false" ht="15" hidden="false" customHeight="false" outlineLevel="0" collapsed="false">
      <c r="A24" s="24" t="n">
        <f aca="false">A23+1</f>
        <v>19</v>
      </c>
      <c r="B24" s="25" t="n">
        <f aca="false">MIN(Premissas!$B$10,B23*(1-Premissas!$B$11)+IF(A24=1,Premissas!$B$8,Premissas!$B$9*Premissas!$B$25))</f>
        <v>31.8767375760108</v>
      </c>
      <c r="C24" s="25" t="n">
        <f aca="false">MAX(0,B24-B23*(1-Premissas!$B$11))</f>
        <v>2</v>
      </c>
      <c r="D24" s="26" t="n">
        <f aca="false">B24*Premissas!$B$6*Premissas!$B$26</f>
        <v>47815.1063640161</v>
      </c>
      <c r="E24" s="26" t="n">
        <f aca="false">C24*Premissas!$B$7*Premissas!$B$26</f>
        <v>2000</v>
      </c>
      <c r="F24" s="26" t="n">
        <f aca="false">D24+E24</f>
        <v>49815.1063640161</v>
      </c>
      <c r="G24" s="26" t="n">
        <f aca="false">F24*Premissas!$B$13</f>
        <v>2988.90638184097</v>
      </c>
      <c r="H24" s="26" t="n">
        <f aca="false">F24*Premissas!$B$12</f>
        <v>14944.5319092048</v>
      </c>
      <c r="I24" s="26" t="n">
        <f aca="false">F24-G24-H24</f>
        <v>31881.6680729703</v>
      </c>
      <c r="J24" s="26" t="n">
        <f aca="false">Premissas!$B$14+Premissas!$B$15</f>
        <v>8000</v>
      </c>
      <c r="K24" s="26" t="n">
        <f aca="false">I24-J24</f>
        <v>23881.6680729703</v>
      </c>
      <c r="L24" s="26" t="n">
        <f aca="false">K24</f>
        <v>23881.6680729703</v>
      </c>
      <c r="M24" s="26" t="n">
        <f aca="false">M23+L24</f>
        <v>171838.264424454</v>
      </c>
      <c r="N24" s="24" t="n">
        <f aca="false">IF(M24&gt;=0,1,0)</f>
        <v>1</v>
      </c>
    </row>
    <row r="25" customFormat="false" ht="15" hidden="false" customHeight="false" outlineLevel="0" collapsed="false">
      <c r="A25" s="24" t="n">
        <f aca="false">A24+1</f>
        <v>20</v>
      </c>
      <c r="B25" s="25" t="n">
        <f aca="false">MIN(Premissas!$B$10,B24*(1-Premissas!$B$11)+IF(A25=1,Premissas!$B$8,Premissas!$B$9*Premissas!$B$25))</f>
        <v>33.2392028244906</v>
      </c>
      <c r="C25" s="25" t="n">
        <f aca="false">MAX(0,B25-B24*(1-Premissas!$B$11))</f>
        <v>2</v>
      </c>
      <c r="D25" s="26" t="n">
        <f aca="false">B25*Premissas!$B$6*Premissas!$B$26</f>
        <v>49858.8042367358</v>
      </c>
      <c r="E25" s="26" t="n">
        <f aca="false">C25*Premissas!$B$7*Premissas!$B$26</f>
        <v>2000</v>
      </c>
      <c r="F25" s="26" t="n">
        <f aca="false">D25+E25</f>
        <v>51858.8042367358</v>
      </c>
      <c r="G25" s="26" t="n">
        <f aca="false">F25*Premissas!$B$13</f>
        <v>3111.52825420415</v>
      </c>
      <c r="H25" s="26" t="n">
        <f aca="false">F25*Premissas!$B$12</f>
        <v>15557.6412710207</v>
      </c>
      <c r="I25" s="26" t="n">
        <f aca="false">F25-G25-H25</f>
        <v>33189.6347115109</v>
      </c>
      <c r="J25" s="26" t="n">
        <f aca="false">Premissas!$B$14+Premissas!$B$15</f>
        <v>8000</v>
      </c>
      <c r="K25" s="26" t="n">
        <f aca="false">I25-J25</f>
        <v>25189.6347115109</v>
      </c>
      <c r="L25" s="26" t="n">
        <f aca="false">K25</f>
        <v>25189.6347115109</v>
      </c>
      <c r="M25" s="26" t="n">
        <f aca="false">M24+L25</f>
        <v>197027.899135964</v>
      </c>
      <c r="N25" s="24" t="n">
        <f aca="false">IF(M25&gt;=0,1,0)</f>
        <v>1</v>
      </c>
    </row>
    <row r="26" customFormat="false" ht="15" hidden="false" customHeight="false" outlineLevel="0" collapsed="false">
      <c r="A26" s="24" t="n">
        <f aca="false">A25+1</f>
        <v>21</v>
      </c>
      <c r="B26" s="25" t="n">
        <f aca="false">MIN(Premissas!$B$10,B25*(1-Premissas!$B$11)+IF(A26=1,Premissas!$B$8,Premissas!$B$9*Premissas!$B$25))</f>
        <v>34.5744187680007</v>
      </c>
      <c r="C26" s="25" t="n">
        <f aca="false">MAX(0,B26-B25*(1-Premissas!$B$11))</f>
        <v>2</v>
      </c>
      <c r="D26" s="26" t="n">
        <f aca="false">B26*Premissas!$B$6*Premissas!$B$26</f>
        <v>51861.6281520011</v>
      </c>
      <c r="E26" s="26" t="n">
        <f aca="false">C26*Premissas!$B$7*Premissas!$B$26</f>
        <v>2000</v>
      </c>
      <c r="F26" s="26" t="n">
        <f aca="false">D26+E26</f>
        <v>53861.6281520011</v>
      </c>
      <c r="G26" s="26" t="n">
        <f aca="false">F26*Premissas!$B$13</f>
        <v>3231.69768912007</v>
      </c>
      <c r="H26" s="26" t="n">
        <f aca="false">F26*Premissas!$B$12</f>
        <v>16158.4884456003</v>
      </c>
      <c r="I26" s="26" t="n">
        <f aca="false">F26-G26-H26</f>
        <v>34471.4420172807</v>
      </c>
      <c r="J26" s="26" t="n">
        <f aca="false">Premissas!$B$14+Premissas!$B$15</f>
        <v>8000</v>
      </c>
      <c r="K26" s="26" t="n">
        <f aca="false">I26-J26</f>
        <v>26471.4420172807</v>
      </c>
      <c r="L26" s="26" t="n">
        <f aca="false">K26</f>
        <v>26471.4420172807</v>
      </c>
      <c r="M26" s="26" t="n">
        <f aca="false">M25+L26</f>
        <v>223499.341153245</v>
      </c>
      <c r="N26" s="24" t="n">
        <f aca="false">IF(M26&gt;=0,1,0)</f>
        <v>1</v>
      </c>
    </row>
    <row r="27" customFormat="false" ht="15" hidden="false" customHeight="false" outlineLevel="0" collapsed="false">
      <c r="A27" s="24" t="n">
        <f aca="false">A26+1</f>
        <v>22</v>
      </c>
      <c r="B27" s="25" t="n">
        <f aca="false">MIN(Premissas!$B$10,B26*(1-Premissas!$B$11)+IF(A27=1,Premissas!$B$8,Premissas!$B$9*Premissas!$B$25))</f>
        <v>35.8829303926407</v>
      </c>
      <c r="C27" s="25" t="n">
        <f aca="false">MAX(0,B27-B26*(1-Premissas!$B$11))</f>
        <v>2</v>
      </c>
      <c r="D27" s="26" t="n">
        <f aca="false">B27*Premissas!$B$6*Premissas!$B$26</f>
        <v>53824.3955889611</v>
      </c>
      <c r="E27" s="26" t="n">
        <f aca="false">C27*Premissas!$B$7*Premissas!$B$26</f>
        <v>2000</v>
      </c>
      <c r="F27" s="26" t="n">
        <f aca="false">D27+E27</f>
        <v>55824.3955889611</v>
      </c>
      <c r="G27" s="26" t="n">
        <f aca="false">F27*Premissas!$B$13</f>
        <v>3349.46373533766</v>
      </c>
      <c r="H27" s="26" t="n">
        <f aca="false">F27*Premissas!$B$12</f>
        <v>16747.3186766883</v>
      </c>
      <c r="I27" s="26" t="n">
        <f aca="false">F27-G27-H27</f>
        <v>35727.6131769351</v>
      </c>
      <c r="J27" s="26" t="n">
        <f aca="false">Premissas!$B$14+Premissas!$B$15</f>
        <v>8000</v>
      </c>
      <c r="K27" s="26" t="n">
        <f aca="false">I27-J27</f>
        <v>27727.6131769351</v>
      </c>
      <c r="L27" s="26" t="n">
        <f aca="false">K27</f>
        <v>27727.6131769351</v>
      </c>
      <c r="M27" s="26" t="n">
        <f aca="false">M26+L27</f>
        <v>251226.95433018</v>
      </c>
      <c r="N27" s="24" t="n">
        <f aca="false">IF(M27&gt;=0,1,0)</f>
        <v>1</v>
      </c>
    </row>
    <row r="28" customFormat="false" ht="15" hidden="false" customHeight="false" outlineLevel="0" collapsed="false">
      <c r="A28" s="24" t="n">
        <f aca="false">A27+1</f>
        <v>23</v>
      </c>
      <c r="B28" s="25" t="n">
        <f aca="false">MIN(Premissas!$B$10,B27*(1-Premissas!$B$11)+IF(A28=1,Premissas!$B$8,Premissas!$B$9*Premissas!$B$25))</f>
        <v>37.1652717847879</v>
      </c>
      <c r="C28" s="25" t="n">
        <f aca="false">MAX(0,B28-B27*(1-Premissas!$B$11))</f>
        <v>2</v>
      </c>
      <c r="D28" s="26" t="n">
        <f aca="false">B28*Premissas!$B$6*Premissas!$B$26</f>
        <v>55747.9076771819</v>
      </c>
      <c r="E28" s="26" t="n">
        <f aca="false">C28*Premissas!$B$7*Premissas!$B$26</f>
        <v>2000</v>
      </c>
      <c r="F28" s="26" t="n">
        <f aca="false">D28+E28</f>
        <v>57747.9076771819</v>
      </c>
      <c r="G28" s="26" t="n">
        <f aca="false">F28*Premissas!$B$13</f>
        <v>3464.87446063091</v>
      </c>
      <c r="H28" s="26" t="n">
        <f aca="false">F28*Premissas!$B$12</f>
        <v>17324.3723031546</v>
      </c>
      <c r="I28" s="26" t="n">
        <f aca="false">F28-G28-H28</f>
        <v>36958.6609133964</v>
      </c>
      <c r="J28" s="26" t="n">
        <f aca="false">Premissas!$B$14+Premissas!$B$15</f>
        <v>8000</v>
      </c>
      <c r="K28" s="26" t="n">
        <f aca="false">I28-J28</f>
        <v>28958.6609133964</v>
      </c>
      <c r="L28" s="26" t="n">
        <f aca="false">K28</f>
        <v>28958.6609133964</v>
      </c>
      <c r="M28" s="26" t="n">
        <f aca="false">M27+L28</f>
        <v>280185.615243577</v>
      </c>
      <c r="N28" s="24" t="n">
        <f aca="false">IF(M28&gt;=0,1,0)</f>
        <v>1</v>
      </c>
    </row>
    <row r="29" customFormat="false" ht="15" hidden="false" customHeight="false" outlineLevel="0" collapsed="false">
      <c r="A29" s="28" t="n">
        <f aca="false">A28+1</f>
        <v>24</v>
      </c>
      <c r="B29" s="29" t="n">
        <f aca="false">MIN(Premissas!$B$10,B28*(1-Premissas!$B$11)+IF(A29=1,Premissas!$B$8,Premissas!$B$9*Premissas!$B$25))</f>
        <v>38.4219663490921</v>
      </c>
      <c r="C29" s="29" t="n">
        <f aca="false">MAX(0,B29-B28*(1-Premissas!$B$11))</f>
        <v>2</v>
      </c>
      <c r="D29" s="30" t="n">
        <f aca="false">B29*Premissas!$B$6*Premissas!$B$26</f>
        <v>57632.9495236382</v>
      </c>
      <c r="E29" s="30" t="n">
        <f aca="false">C29*Premissas!$B$7*Premissas!$B$26</f>
        <v>2000</v>
      </c>
      <c r="F29" s="30" t="n">
        <f aca="false">D29+E29</f>
        <v>59632.9495236382</v>
      </c>
      <c r="G29" s="30" t="n">
        <f aca="false">F29*Premissas!$B$13</f>
        <v>3577.97697141829</v>
      </c>
      <c r="H29" s="30" t="n">
        <f aca="false">F29*Premissas!$B$12</f>
        <v>17889.8848570915</v>
      </c>
      <c r="I29" s="30" t="n">
        <f aca="false">F29-G29-H29</f>
        <v>38165.0876951285</v>
      </c>
      <c r="J29" s="30" t="n">
        <f aca="false">Premissas!$B$14+Premissas!$B$15</f>
        <v>8000</v>
      </c>
      <c r="K29" s="30" t="n">
        <f aca="false">I29-J29</f>
        <v>30165.0876951285</v>
      </c>
      <c r="L29" s="30" t="n">
        <f aca="false">K29</f>
        <v>30165.0876951285</v>
      </c>
      <c r="M29" s="30" t="n">
        <f aca="false">M28+L29</f>
        <v>310350.702938705</v>
      </c>
      <c r="N29" s="28" t="n">
        <f aca="false">IF(M29&gt;=0,1,0)</f>
        <v>1</v>
      </c>
    </row>
    <row r="30" customFormat="false" ht="15" hidden="false" customHeight="false" outlineLevel="0" collapsed="false">
      <c r="A30" s="24" t="n">
        <f aca="false">A29+1</f>
        <v>25</v>
      </c>
      <c r="B30" s="25" t="n">
        <f aca="false">MIN(Premissas!$B$10,B29*(1-Premissas!$B$11)+IF(A30=1,Premissas!$B$8,Premissas!$B$9*Premissas!$B$25))</f>
        <v>39.6535270221103</v>
      </c>
      <c r="C30" s="25" t="n">
        <f aca="false">MAX(0,B30-B29*(1-Premissas!$B$11))</f>
        <v>2</v>
      </c>
      <c r="D30" s="26" t="n">
        <f aca="false">B30*Premissas!$B$6*Premissas!$B$26</f>
        <v>59480.2905331655</v>
      </c>
      <c r="E30" s="26" t="n">
        <f aca="false">C30*Premissas!$B$7*Premissas!$B$26</f>
        <v>2000</v>
      </c>
      <c r="F30" s="26" t="n">
        <f aca="false">D30+E30</f>
        <v>61480.2905331655</v>
      </c>
      <c r="G30" s="26" t="n">
        <f aca="false">F30*Premissas!$B$13</f>
        <v>3688.81743198993</v>
      </c>
      <c r="H30" s="26" t="n">
        <f aca="false">F30*Premissas!$B$12</f>
        <v>18444.0871599496</v>
      </c>
      <c r="I30" s="26" t="n">
        <f aca="false">F30-G30-H30</f>
        <v>39347.3859412259</v>
      </c>
      <c r="J30" s="26" t="n">
        <f aca="false">Premissas!$B$14+Premissas!$B$15</f>
        <v>8000</v>
      </c>
      <c r="K30" s="26" t="n">
        <f aca="false">I30-J30</f>
        <v>31347.3859412259</v>
      </c>
      <c r="L30" s="26" t="n">
        <f aca="false">K30</f>
        <v>31347.3859412259</v>
      </c>
      <c r="M30" s="26" t="n">
        <f aca="false">M29+L30</f>
        <v>341698.088879931</v>
      </c>
      <c r="N30" s="24" t="n">
        <f aca="false">IF(M30&gt;=0,1,0)</f>
        <v>1</v>
      </c>
    </row>
    <row r="31" customFormat="false" ht="15" hidden="false" customHeight="false" outlineLevel="0" collapsed="false">
      <c r="A31" s="24" t="n">
        <f aca="false">A30+1</f>
        <v>26</v>
      </c>
      <c r="B31" s="25" t="n">
        <f aca="false">MIN(Premissas!$B$10,B30*(1-Premissas!$B$11)+IF(A31=1,Premissas!$B$8,Premissas!$B$9*Premissas!$B$25))</f>
        <v>40</v>
      </c>
      <c r="C31" s="25" t="n">
        <f aca="false">MAX(0,B31-B30*(1-Premissas!$B$11))</f>
        <v>1.13954351833191</v>
      </c>
      <c r="D31" s="26" t="n">
        <f aca="false">B31*Premissas!$B$6*Premissas!$B$26</f>
        <v>60000</v>
      </c>
      <c r="E31" s="26" t="n">
        <f aca="false">C31*Premissas!$B$7*Premissas!$B$26</f>
        <v>1139.54351833191</v>
      </c>
      <c r="F31" s="26" t="n">
        <f aca="false">D31+E31</f>
        <v>61139.5435183319</v>
      </c>
      <c r="G31" s="26" t="n">
        <f aca="false">F31*Premissas!$B$13</f>
        <v>3668.37261109991</v>
      </c>
      <c r="H31" s="26" t="n">
        <f aca="false">F31*Premissas!$B$12</f>
        <v>18341.8630554996</v>
      </c>
      <c r="I31" s="26" t="n">
        <f aca="false">F31-G31-H31</f>
        <v>39129.3078517324</v>
      </c>
      <c r="J31" s="26" t="n">
        <f aca="false">Premissas!$B$14+Premissas!$B$15</f>
        <v>8000</v>
      </c>
      <c r="K31" s="26" t="n">
        <f aca="false">I31-J31</f>
        <v>31129.3078517324</v>
      </c>
      <c r="L31" s="26" t="n">
        <f aca="false">K31</f>
        <v>31129.3078517324</v>
      </c>
      <c r="M31" s="26" t="n">
        <f aca="false">M30+L31</f>
        <v>372827.396731663</v>
      </c>
      <c r="N31" s="24" t="n">
        <f aca="false">IF(M31&gt;=0,1,0)</f>
        <v>1</v>
      </c>
    </row>
    <row r="32" customFormat="false" ht="15" hidden="false" customHeight="false" outlineLevel="0" collapsed="false">
      <c r="A32" s="24" t="n">
        <f aca="false">A31+1</f>
        <v>27</v>
      </c>
      <c r="B32" s="25" t="n">
        <f aca="false">MIN(Premissas!$B$10,B31*(1-Premissas!$B$11)+IF(A32=1,Premissas!$B$8,Premissas!$B$9*Premissas!$B$25))</f>
        <v>40</v>
      </c>
      <c r="C32" s="25" t="n">
        <f aca="false">MAX(0,B32-B31*(1-Premissas!$B$11))</f>
        <v>0.799999999999997</v>
      </c>
      <c r="D32" s="26" t="n">
        <f aca="false">B32*Premissas!$B$6*Premissas!$B$26</f>
        <v>60000</v>
      </c>
      <c r="E32" s="26" t="n">
        <f aca="false">C32*Premissas!$B$7*Premissas!$B$26</f>
        <v>799.999999999997</v>
      </c>
      <c r="F32" s="26" t="n">
        <f aca="false">D32+E32</f>
        <v>60800</v>
      </c>
      <c r="G32" s="26" t="n">
        <f aca="false">F32*Premissas!$B$13</f>
        <v>3648</v>
      </c>
      <c r="H32" s="26" t="n">
        <f aca="false">F32*Premissas!$B$12</f>
        <v>18240</v>
      </c>
      <c r="I32" s="26" t="n">
        <f aca="false">F32-G32-H32</f>
        <v>38912</v>
      </c>
      <c r="J32" s="26" t="n">
        <f aca="false">Premissas!$B$14+Premissas!$B$15</f>
        <v>8000</v>
      </c>
      <c r="K32" s="26" t="n">
        <f aca="false">I32-J32</f>
        <v>30912</v>
      </c>
      <c r="L32" s="26" t="n">
        <f aca="false">K32</f>
        <v>30912</v>
      </c>
      <c r="M32" s="26" t="n">
        <f aca="false">M31+L32</f>
        <v>403739.396731663</v>
      </c>
      <c r="N32" s="24" t="n">
        <f aca="false">IF(M32&gt;=0,1,0)</f>
        <v>1</v>
      </c>
    </row>
    <row r="33" customFormat="false" ht="15" hidden="false" customHeight="false" outlineLevel="0" collapsed="false">
      <c r="A33" s="24" t="n">
        <f aca="false">A32+1</f>
        <v>28</v>
      </c>
      <c r="B33" s="25" t="n">
        <f aca="false">MIN(Premissas!$B$10,B32*(1-Premissas!$B$11)+IF(A33=1,Premissas!$B$8,Premissas!$B$9*Premissas!$B$25))</f>
        <v>40</v>
      </c>
      <c r="C33" s="25" t="n">
        <f aca="false">MAX(0,B33-B32*(1-Premissas!$B$11))</f>
        <v>0.799999999999997</v>
      </c>
      <c r="D33" s="26" t="n">
        <f aca="false">B33*Premissas!$B$6*Premissas!$B$26</f>
        <v>60000</v>
      </c>
      <c r="E33" s="26" t="n">
        <f aca="false">C33*Premissas!$B$7*Premissas!$B$26</f>
        <v>799.999999999997</v>
      </c>
      <c r="F33" s="26" t="n">
        <f aca="false">D33+E33</f>
        <v>60800</v>
      </c>
      <c r="G33" s="26" t="n">
        <f aca="false">F33*Premissas!$B$13</f>
        <v>3648</v>
      </c>
      <c r="H33" s="26" t="n">
        <f aca="false">F33*Premissas!$B$12</f>
        <v>18240</v>
      </c>
      <c r="I33" s="26" t="n">
        <f aca="false">F33-G33-H33</f>
        <v>38912</v>
      </c>
      <c r="J33" s="26" t="n">
        <f aca="false">Premissas!$B$14+Premissas!$B$15</f>
        <v>8000</v>
      </c>
      <c r="K33" s="26" t="n">
        <f aca="false">I33-J33</f>
        <v>30912</v>
      </c>
      <c r="L33" s="26" t="n">
        <f aca="false">K33</f>
        <v>30912</v>
      </c>
      <c r="M33" s="26" t="n">
        <f aca="false">M32+L33</f>
        <v>434651.396731663</v>
      </c>
      <c r="N33" s="24" t="n">
        <f aca="false">IF(M33&gt;=0,1,0)</f>
        <v>1</v>
      </c>
    </row>
    <row r="34" customFormat="false" ht="15" hidden="false" customHeight="false" outlineLevel="0" collapsed="false">
      <c r="A34" s="24" t="n">
        <f aca="false">A33+1</f>
        <v>29</v>
      </c>
      <c r="B34" s="25" t="n">
        <f aca="false">MIN(Premissas!$B$10,B33*(1-Premissas!$B$11)+IF(A34=1,Premissas!$B$8,Premissas!$B$9*Premissas!$B$25))</f>
        <v>40</v>
      </c>
      <c r="C34" s="25" t="n">
        <f aca="false">MAX(0,B34-B33*(1-Premissas!$B$11))</f>
        <v>0.799999999999997</v>
      </c>
      <c r="D34" s="26" t="n">
        <f aca="false">B34*Premissas!$B$6*Premissas!$B$26</f>
        <v>60000</v>
      </c>
      <c r="E34" s="26" t="n">
        <f aca="false">C34*Premissas!$B$7*Premissas!$B$26</f>
        <v>799.999999999997</v>
      </c>
      <c r="F34" s="26" t="n">
        <f aca="false">D34+E34</f>
        <v>60800</v>
      </c>
      <c r="G34" s="26" t="n">
        <f aca="false">F34*Premissas!$B$13</f>
        <v>3648</v>
      </c>
      <c r="H34" s="26" t="n">
        <f aca="false">F34*Premissas!$B$12</f>
        <v>18240</v>
      </c>
      <c r="I34" s="26" t="n">
        <f aca="false">F34-G34-H34</f>
        <v>38912</v>
      </c>
      <c r="J34" s="26" t="n">
        <f aca="false">Premissas!$B$14+Premissas!$B$15</f>
        <v>8000</v>
      </c>
      <c r="K34" s="26" t="n">
        <f aca="false">I34-J34</f>
        <v>30912</v>
      </c>
      <c r="L34" s="26" t="n">
        <f aca="false">K34</f>
        <v>30912</v>
      </c>
      <c r="M34" s="26" t="n">
        <f aca="false">M33+L34</f>
        <v>465563.396731663</v>
      </c>
      <c r="N34" s="24" t="n">
        <f aca="false">IF(M34&gt;=0,1,0)</f>
        <v>1</v>
      </c>
    </row>
    <row r="35" customFormat="false" ht="15" hidden="false" customHeight="false" outlineLevel="0" collapsed="false">
      <c r="A35" s="24" t="n">
        <f aca="false">A34+1</f>
        <v>30</v>
      </c>
      <c r="B35" s="25" t="n">
        <f aca="false">MIN(Premissas!$B$10,B34*(1-Premissas!$B$11)+IF(A35=1,Premissas!$B$8,Premissas!$B$9*Premissas!$B$25))</f>
        <v>40</v>
      </c>
      <c r="C35" s="25" t="n">
        <f aca="false">MAX(0,B35-B34*(1-Premissas!$B$11))</f>
        <v>0.799999999999997</v>
      </c>
      <c r="D35" s="26" t="n">
        <f aca="false">B35*Premissas!$B$6*Premissas!$B$26</f>
        <v>60000</v>
      </c>
      <c r="E35" s="26" t="n">
        <f aca="false">C35*Premissas!$B$7*Premissas!$B$26</f>
        <v>799.999999999997</v>
      </c>
      <c r="F35" s="26" t="n">
        <f aca="false">D35+E35</f>
        <v>60800</v>
      </c>
      <c r="G35" s="26" t="n">
        <f aca="false">F35*Premissas!$B$13</f>
        <v>3648</v>
      </c>
      <c r="H35" s="26" t="n">
        <f aca="false">F35*Premissas!$B$12</f>
        <v>18240</v>
      </c>
      <c r="I35" s="26" t="n">
        <f aca="false">F35-G35-H35</f>
        <v>38912</v>
      </c>
      <c r="J35" s="26" t="n">
        <f aca="false">Premissas!$B$14+Premissas!$B$15</f>
        <v>8000</v>
      </c>
      <c r="K35" s="26" t="n">
        <f aca="false">I35-J35</f>
        <v>30912</v>
      </c>
      <c r="L35" s="26" t="n">
        <f aca="false">K35</f>
        <v>30912</v>
      </c>
      <c r="M35" s="26" t="n">
        <f aca="false">M34+L35</f>
        <v>496475.396731663</v>
      </c>
      <c r="N35" s="24" t="n">
        <f aca="false">IF(M35&gt;=0,1,0)</f>
        <v>1</v>
      </c>
    </row>
    <row r="36" customFormat="false" ht="15" hidden="false" customHeight="false" outlineLevel="0" collapsed="false">
      <c r="A36" s="24" t="n">
        <f aca="false">A35+1</f>
        <v>31</v>
      </c>
      <c r="B36" s="25" t="n">
        <f aca="false">MIN(Premissas!$B$10,B35*(1-Premissas!$B$11)+IF(A36=1,Premissas!$B$8,Premissas!$B$9*Premissas!$B$25))</f>
        <v>40</v>
      </c>
      <c r="C36" s="25" t="n">
        <f aca="false">MAX(0,B36-B35*(1-Premissas!$B$11))</f>
        <v>0.799999999999997</v>
      </c>
      <c r="D36" s="26" t="n">
        <f aca="false">B36*Premissas!$B$6*Premissas!$B$26</f>
        <v>60000</v>
      </c>
      <c r="E36" s="26" t="n">
        <f aca="false">C36*Premissas!$B$7*Premissas!$B$26</f>
        <v>799.999999999997</v>
      </c>
      <c r="F36" s="26" t="n">
        <f aca="false">D36+E36</f>
        <v>60800</v>
      </c>
      <c r="G36" s="26" t="n">
        <f aca="false">F36*Premissas!$B$13</f>
        <v>3648</v>
      </c>
      <c r="H36" s="26" t="n">
        <f aca="false">F36*Premissas!$B$12</f>
        <v>18240</v>
      </c>
      <c r="I36" s="26" t="n">
        <f aca="false">F36-G36-H36</f>
        <v>38912</v>
      </c>
      <c r="J36" s="26" t="n">
        <f aca="false">Premissas!$B$14+Premissas!$B$15</f>
        <v>8000</v>
      </c>
      <c r="K36" s="26" t="n">
        <f aca="false">I36-J36</f>
        <v>30912</v>
      </c>
      <c r="L36" s="26" t="n">
        <f aca="false">K36</f>
        <v>30912</v>
      </c>
      <c r="M36" s="26" t="n">
        <f aca="false">M35+L36</f>
        <v>527387.396731664</v>
      </c>
      <c r="N36" s="24" t="n">
        <f aca="false">IF(M36&gt;=0,1,0)</f>
        <v>1</v>
      </c>
    </row>
    <row r="37" customFormat="false" ht="15" hidden="false" customHeight="false" outlineLevel="0" collapsed="false">
      <c r="A37" s="24" t="n">
        <f aca="false">A36+1</f>
        <v>32</v>
      </c>
      <c r="B37" s="25" t="n">
        <f aca="false">MIN(Premissas!$B$10,B36*(1-Premissas!$B$11)+IF(A37=1,Premissas!$B$8,Premissas!$B$9*Premissas!$B$25))</f>
        <v>40</v>
      </c>
      <c r="C37" s="25" t="n">
        <f aca="false">MAX(0,B37-B36*(1-Premissas!$B$11))</f>
        <v>0.799999999999997</v>
      </c>
      <c r="D37" s="26" t="n">
        <f aca="false">B37*Premissas!$B$6*Premissas!$B$26</f>
        <v>60000</v>
      </c>
      <c r="E37" s="26" t="n">
        <f aca="false">C37*Premissas!$B$7*Premissas!$B$26</f>
        <v>799.999999999997</v>
      </c>
      <c r="F37" s="26" t="n">
        <f aca="false">D37+E37</f>
        <v>60800</v>
      </c>
      <c r="G37" s="26" t="n">
        <f aca="false">F37*Premissas!$B$13</f>
        <v>3648</v>
      </c>
      <c r="H37" s="26" t="n">
        <f aca="false">F37*Premissas!$B$12</f>
        <v>18240</v>
      </c>
      <c r="I37" s="26" t="n">
        <f aca="false">F37-G37-H37</f>
        <v>38912</v>
      </c>
      <c r="J37" s="26" t="n">
        <f aca="false">Premissas!$B$14+Premissas!$B$15</f>
        <v>8000</v>
      </c>
      <c r="K37" s="26" t="n">
        <f aca="false">I37-J37</f>
        <v>30912</v>
      </c>
      <c r="L37" s="26" t="n">
        <f aca="false">K37</f>
        <v>30912</v>
      </c>
      <c r="M37" s="26" t="n">
        <f aca="false">M36+L37</f>
        <v>558299.396731664</v>
      </c>
      <c r="N37" s="24" t="n">
        <f aca="false">IF(M37&gt;=0,1,0)</f>
        <v>1</v>
      </c>
    </row>
    <row r="38" customFormat="false" ht="15" hidden="false" customHeight="false" outlineLevel="0" collapsed="false">
      <c r="A38" s="24" t="n">
        <f aca="false">A37+1</f>
        <v>33</v>
      </c>
      <c r="B38" s="25" t="n">
        <f aca="false">MIN(Premissas!$B$10,B37*(1-Premissas!$B$11)+IF(A38=1,Premissas!$B$8,Premissas!$B$9*Premissas!$B$25))</f>
        <v>40</v>
      </c>
      <c r="C38" s="25" t="n">
        <f aca="false">MAX(0,B38-B37*(1-Premissas!$B$11))</f>
        <v>0.799999999999997</v>
      </c>
      <c r="D38" s="26" t="n">
        <f aca="false">B38*Premissas!$B$6*Premissas!$B$26</f>
        <v>60000</v>
      </c>
      <c r="E38" s="26" t="n">
        <f aca="false">C38*Premissas!$B$7*Premissas!$B$26</f>
        <v>799.999999999997</v>
      </c>
      <c r="F38" s="26" t="n">
        <f aca="false">D38+E38</f>
        <v>60800</v>
      </c>
      <c r="G38" s="26" t="n">
        <f aca="false">F38*Premissas!$B$13</f>
        <v>3648</v>
      </c>
      <c r="H38" s="26" t="n">
        <f aca="false">F38*Premissas!$B$12</f>
        <v>18240</v>
      </c>
      <c r="I38" s="26" t="n">
        <f aca="false">F38-G38-H38</f>
        <v>38912</v>
      </c>
      <c r="J38" s="26" t="n">
        <f aca="false">Premissas!$B$14+Premissas!$B$15</f>
        <v>8000</v>
      </c>
      <c r="K38" s="26" t="n">
        <f aca="false">I38-J38</f>
        <v>30912</v>
      </c>
      <c r="L38" s="26" t="n">
        <f aca="false">K38</f>
        <v>30912</v>
      </c>
      <c r="M38" s="26" t="n">
        <f aca="false">M37+L38</f>
        <v>589211.396731664</v>
      </c>
      <c r="N38" s="24" t="n">
        <f aca="false">IF(M38&gt;=0,1,0)</f>
        <v>1</v>
      </c>
    </row>
    <row r="39" customFormat="false" ht="15" hidden="false" customHeight="false" outlineLevel="0" collapsed="false">
      <c r="A39" s="24" t="n">
        <f aca="false">A38+1</f>
        <v>34</v>
      </c>
      <c r="B39" s="25" t="n">
        <f aca="false">MIN(Premissas!$B$10,B38*(1-Premissas!$B$11)+IF(A39=1,Premissas!$B$8,Premissas!$B$9*Premissas!$B$25))</f>
        <v>40</v>
      </c>
      <c r="C39" s="25" t="n">
        <f aca="false">MAX(0,B39-B38*(1-Premissas!$B$11))</f>
        <v>0.799999999999997</v>
      </c>
      <c r="D39" s="26" t="n">
        <f aca="false">B39*Premissas!$B$6*Premissas!$B$26</f>
        <v>60000</v>
      </c>
      <c r="E39" s="26" t="n">
        <f aca="false">C39*Premissas!$B$7*Premissas!$B$26</f>
        <v>799.999999999997</v>
      </c>
      <c r="F39" s="26" t="n">
        <f aca="false">D39+E39</f>
        <v>60800</v>
      </c>
      <c r="G39" s="26" t="n">
        <f aca="false">F39*Premissas!$B$13</f>
        <v>3648</v>
      </c>
      <c r="H39" s="26" t="n">
        <f aca="false">F39*Premissas!$B$12</f>
        <v>18240</v>
      </c>
      <c r="I39" s="26" t="n">
        <f aca="false">F39-G39-H39</f>
        <v>38912</v>
      </c>
      <c r="J39" s="26" t="n">
        <f aca="false">Premissas!$B$14+Premissas!$B$15</f>
        <v>8000</v>
      </c>
      <c r="K39" s="26" t="n">
        <f aca="false">I39-J39</f>
        <v>30912</v>
      </c>
      <c r="L39" s="26" t="n">
        <f aca="false">K39</f>
        <v>30912</v>
      </c>
      <c r="M39" s="26" t="n">
        <f aca="false">M38+L39</f>
        <v>620123.396731664</v>
      </c>
      <c r="N39" s="24" t="n">
        <f aca="false">IF(M39&gt;=0,1,0)</f>
        <v>1</v>
      </c>
    </row>
    <row r="40" customFormat="false" ht="15" hidden="false" customHeight="false" outlineLevel="0" collapsed="false">
      <c r="A40" s="24" t="n">
        <f aca="false">A39+1</f>
        <v>35</v>
      </c>
      <c r="B40" s="25" t="n">
        <f aca="false">MIN(Premissas!$B$10,B39*(1-Premissas!$B$11)+IF(A40=1,Premissas!$B$8,Premissas!$B$9*Premissas!$B$25))</f>
        <v>40</v>
      </c>
      <c r="C40" s="25" t="n">
        <f aca="false">MAX(0,B40-B39*(1-Premissas!$B$11))</f>
        <v>0.799999999999997</v>
      </c>
      <c r="D40" s="26" t="n">
        <f aca="false">B40*Premissas!$B$6*Premissas!$B$26</f>
        <v>60000</v>
      </c>
      <c r="E40" s="26" t="n">
        <f aca="false">C40*Premissas!$B$7*Premissas!$B$26</f>
        <v>799.999999999997</v>
      </c>
      <c r="F40" s="26" t="n">
        <f aca="false">D40+E40</f>
        <v>60800</v>
      </c>
      <c r="G40" s="26" t="n">
        <f aca="false">F40*Premissas!$B$13</f>
        <v>3648</v>
      </c>
      <c r="H40" s="26" t="n">
        <f aca="false">F40*Premissas!$B$12</f>
        <v>18240</v>
      </c>
      <c r="I40" s="26" t="n">
        <f aca="false">F40-G40-H40</f>
        <v>38912</v>
      </c>
      <c r="J40" s="26" t="n">
        <f aca="false">Premissas!$B$14+Premissas!$B$15</f>
        <v>8000</v>
      </c>
      <c r="K40" s="26" t="n">
        <f aca="false">I40-J40</f>
        <v>30912</v>
      </c>
      <c r="L40" s="26" t="n">
        <f aca="false">K40</f>
        <v>30912</v>
      </c>
      <c r="M40" s="26" t="n">
        <f aca="false">M39+L40</f>
        <v>651035.396731664</v>
      </c>
      <c r="N40" s="24" t="n">
        <f aca="false">IF(M40&gt;=0,1,0)</f>
        <v>1</v>
      </c>
    </row>
    <row r="41" customFormat="false" ht="15" hidden="false" customHeight="false" outlineLevel="0" collapsed="false">
      <c r="A41" s="28" t="n">
        <f aca="false">A40+1</f>
        <v>36</v>
      </c>
      <c r="B41" s="29" t="n">
        <f aca="false">MIN(Premissas!$B$10,B40*(1-Premissas!$B$11)+IF(A41=1,Premissas!$B$8,Premissas!$B$9*Premissas!$B$25))</f>
        <v>40</v>
      </c>
      <c r="C41" s="29" t="n">
        <f aca="false">MAX(0,B41-B40*(1-Premissas!$B$11))</f>
        <v>0.799999999999997</v>
      </c>
      <c r="D41" s="30" t="n">
        <f aca="false">B41*Premissas!$B$6*Premissas!$B$26</f>
        <v>60000</v>
      </c>
      <c r="E41" s="30" t="n">
        <f aca="false">C41*Premissas!$B$7*Premissas!$B$26</f>
        <v>799.999999999997</v>
      </c>
      <c r="F41" s="30" t="n">
        <f aca="false">D41+E41</f>
        <v>60800</v>
      </c>
      <c r="G41" s="30" t="n">
        <f aca="false">F41*Premissas!$B$13</f>
        <v>3648</v>
      </c>
      <c r="H41" s="30" t="n">
        <f aca="false">F41*Premissas!$B$12</f>
        <v>18240</v>
      </c>
      <c r="I41" s="30" t="n">
        <f aca="false">F41-G41-H41</f>
        <v>38912</v>
      </c>
      <c r="J41" s="30" t="n">
        <f aca="false">Premissas!$B$14+Premissas!$B$15</f>
        <v>8000</v>
      </c>
      <c r="K41" s="30" t="n">
        <f aca="false">I41-J41</f>
        <v>30912</v>
      </c>
      <c r="L41" s="30" t="n">
        <f aca="false">K41</f>
        <v>30912</v>
      </c>
      <c r="M41" s="30" t="n">
        <f aca="false">M40+L41</f>
        <v>681947.396731664</v>
      </c>
      <c r="N41" s="28" t="n">
        <f aca="false">IF(M41&gt;=0,1,0)</f>
        <v>1</v>
      </c>
    </row>
    <row r="43" customFormat="false" ht="15" hidden="false" customHeight="false" outlineLevel="0" collapsed="false">
      <c r="A43" s="12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6" min="4" style="0" width="16"/>
    <col collapsed="false" customWidth="true" hidden="false" outlineLevel="0" max="7" min="7" style="0" width="14"/>
    <col collapsed="false" customWidth="true" hidden="false" outlineLevel="0" max="13" min="8" style="0" width="16"/>
    <col collapsed="false" customWidth="true" hidden="false" outlineLevel="0" max="14" min="14" style="0" width="12"/>
  </cols>
  <sheetData>
    <row r="1" customFormat="false" ht="17.35" hidden="false" customHeight="false" outlineLevel="0" collapsed="false">
      <c r="A1" s="1" t="s">
        <v>117</v>
      </c>
    </row>
    <row r="2" customFormat="false" ht="15" hidden="false" customHeight="false" outlineLevel="0" collapsed="false">
      <c r="A2" s="0" t="s">
        <v>25</v>
      </c>
      <c r="B2" s="5" t="str">
        <f aca="false">Premissas!$B$18</f>
        <v>Base</v>
      </c>
    </row>
    <row r="4" customFormat="false" ht="45" hidden="false" customHeight="true" outlineLevel="0" collapsed="false">
      <c r="A4" s="6" t="s">
        <v>102</v>
      </c>
      <c r="B4" s="6" t="s">
        <v>103</v>
      </c>
      <c r="C4" s="6" t="s">
        <v>104</v>
      </c>
      <c r="D4" s="6" t="s">
        <v>105</v>
      </c>
      <c r="E4" s="6" t="s">
        <v>106</v>
      </c>
      <c r="F4" s="6" t="s">
        <v>107</v>
      </c>
      <c r="G4" s="6" t="s">
        <v>108</v>
      </c>
      <c r="H4" s="6" t="s">
        <v>109</v>
      </c>
      <c r="I4" s="6" t="s">
        <v>110</v>
      </c>
      <c r="J4" s="6" t="s">
        <v>111</v>
      </c>
      <c r="K4" s="6" t="s">
        <v>112</v>
      </c>
      <c r="L4" s="6" t="s">
        <v>113</v>
      </c>
      <c r="M4" s="6" t="s">
        <v>114</v>
      </c>
      <c r="N4" s="6" t="s">
        <v>115</v>
      </c>
    </row>
    <row r="5" customFormat="false" ht="15" hidden="false" customHeight="false" outlineLevel="0" collapsed="false">
      <c r="A5" s="24" t="n">
        <v>0</v>
      </c>
      <c r="B5" s="25" t="n">
        <v>0</v>
      </c>
      <c r="C5" s="25" t="n">
        <v>0</v>
      </c>
      <c r="D5" s="26" t="n">
        <v>0</v>
      </c>
      <c r="E5" s="26" t="n">
        <v>0</v>
      </c>
      <c r="F5" s="26" t="n">
        <v>0</v>
      </c>
      <c r="G5" s="26" t="n">
        <v>0</v>
      </c>
      <c r="H5" s="26" t="n">
        <v>0</v>
      </c>
      <c r="I5" s="26" t="n">
        <v>0</v>
      </c>
      <c r="J5" s="26" t="n">
        <v>0</v>
      </c>
      <c r="K5" s="26" t="n">
        <v>0</v>
      </c>
      <c r="L5" s="27" t="n">
        <f aca="false">-Premissas!$C$5</f>
        <v>-40000</v>
      </c>
      <c r="M5" s="26" t="n">
        <f aca="false">L5</f>
        <v>-40000</v>
      </c>
      <c r="N5" s="24" t="n">
        <f aca="false">IF(M5&gt;=0,1,0)</f>
        <v>0</v>
      </c>
    </row>
    <row r="6" customFormat="false" ht="15" hidden="false" customHeight="false" outlineLevel="0" collapsed="false">
      <c r="A6" s="24" t="n">
        <f aca="false">A5+1</f>
        <v>1</v>
      </c>
      <c r="B6" s="25" t="n">
        <f aca="false">MIN(Premissas!$C$10,B5*(1-Premissas!$C$11)+IF(A6=1,Premissas!$C$8,Premissas!$C$9*Premissas!$B$25))</f>
        <v>1</v>
      </c>
      <c r="C6" s="25" t="n">
        <f aca="false">MAX(0,B6-B5*(1-Premissas!$C$11))</f>
        <v>1</v>
      </c>
      <c r="D6" s="26" t="n">
        <f aca="false">B6*Premissas!$C$6*Premissas!$B$26</f>
        <v>1200</v>
      </c>
      <c r="E6" s="26" t="n">
        <f aca="false">C6*Premissas!$C$7*Premissas!$B$26</f>
        <v>8000</v>
      </c>
      <c r="F6" s="26" t="n">
        <f aca="false">D6+E6</f>
        <v>9200</v>
      </c>
      <c r="G6" s="26" t="n">
        <f aca="false">F6*Premissas!$C$13</f>
        <v>552</v>
      </c>
      <c r="H6" s="26" t="n">
        <f aca="false">F6*Premissas!$C$12</f>
        <v>3220</v>
      </c>
      <c r="I6" s="26" t="n">
        <f aca="false">F6-G6-H6</f>
        <v>5428</v>
      </c>
      <c r="J6" s="26" t="n">
        <f aca="false">Premissas!$C$14+Premissas!$C$15</f>
        <v>10000</v>
      </c>
      <c r="K6" s="26" t="n">
        <f aca="false">I6-J6</f>
        <v>-4572</v>
      </c>
      <c r="L6" s="26" t="n">
        <f aca="false">K6</f>
        <v>-4572</v>
      </c>
      <c r="M6" s="26" t="n">
        <f aca="false">M5+L6</f>
        <v>-44572</v>
      </c>
      <c r="N6" s="24" t="n">
        <f aca="false">IF(M6&gt;=0,1,0)</f>
        <v>0</v>
      </c>
    </row>
    <row r="7" customFormat="false" ht="15" hidden="false" customHeight="false" outlineLevel="0" collapsed="false">
      <c r="A7" s="24" t="n">
        <f aca="false">A6+1</f>
        <v>2</v>
      </c>
      <c r="B7" s="25" t="n">
        <f aca="false">MIN(Premissas!$C$10,B6*(1-Premissas!$C$11)+IF(A7=1,Premissas!$C$8,Premissas!$C$9*Premissas!$B$25))</f>
        <v>2.47</v>
      </c>
      <c r="C7" s="25" t="n">
        <f aca="false">MAX(0,B7-B6*(1-Premissas!$C$11))</f>
        <v>1.5</v>
      </c>
      <c r="D7" s="26" t="n">
        <f aca="false">B7*Premissas!$C$6*Premissas!$B$26</f>
        <v>2964</v>
      </c>
      <c r="E7" s="26" t="n">
        <f aca="false">C7*Premissas!$C$7*Premissas!$B$26</f>
        <v>12000</v>
      </c>
      <c r="F7" s="26" t="n">
        <f aca="false">D7+E7</f>
        <v>14964</v>
      </c>
      <c r="G7" s="26" t="n">
        <f aca="false">F7*Premissas!$C$13</f>
        <v>897.84</v>
      </c>
      <c r="H7" s="26" t="n">
        <f aca="false">F7*Premissas!$C$12</f>
        <v>5237.4</v>
      </c>
      <c r="I7" s="26" t="n">
        <f aca="false">F7-G7-H7</f>
        <v>8828.76</v>
      </c>
      <c r="J7" s="26" t="n">
        <f aca="false">Premissas!$C$14+Premissas!$C$15</f>
        <v>10000</v>
      </c>
      <c r="K7" s="26" t="n">
        <f aca="false">I7-J7</f>
        <v>-1171.24</v>
      </c>
      <c r="L7" s="26" t="n">
        <f aca="false">K7</f>
        <v>-1171.24</v>
      </c>
      <c r="M7" s="26" t="n">
        <f aca="false">M6+L7</f>
        <v>-45743.24</v>
      </c>
      <c r="N7" s="24" t="n">
        <f aca="false">IF(M7&gt;=0,1,0)</f>
        <v>0</v>
      </c>
    </row>
    <row r="8" customFormat="false" ht="15" hidden="false" customHeight="false" outlineLevel="0" collapsed="false">
      <c r="A8" s="24" t="n">
        <f aca="false">A7+1</f>
        <v>3</v>
      </c>
      <c r="B8" s="25" t="n">
        <f aca="false">MIN(Premissas!$C$10,B7*(1-Premissas!$C$11)+IF(A8=1,Premissas!$C$8,Premissas!$C$9*Premissas!$B$25))</f>
        <v>3.8959</v>
      </c>
      <c r="C8" s="25" t="n">
        <f aca="false">MAX(0,B8-B7*(1-Premissas!$C$11))</f>
        <v>1.5</v>
      </c>
      <c r="D8" s="26" t="n">
        <f aca="false">B8*Premissas!$C$6*Premissas!$B$26</f>
        <v>4675.08</v>
      </c>
      <c r="E8" s="26" t="n">
        <f aca="false">C8*Premissas!$C$7*Premissas!$B$26</f>
        <v>12000</v>
      </c>
      <c r="F8" s="26" t="n">
        <f aca="false">D8+E8</f>
        <v>16675.08</v>
      </c>
      <c r="G8" s="26" t="n">
        <f aca="false">F8*Premissas!$C$13</f>
        <v>1000.5048</v>
      </c>
      <c r="H8" s="26" t="n">
        <f aca="false">F8*Premissas!$C$12</f>
        <v>5836.278</v>
      </c>
      <c r="I8" s="26" t="n">
        <f aca="false">F8-G8-H8</f>
        <v>9838.2972</v>
      </c>
      <c r="J8" s="26" t="n">
        <f aca="false">Premissas!$C$14+Premissas!$C$15</f>
        <v>10000</v>
      </c>
      <c r="K8" s="26" t="n">
        <f aca="false">I8-J8</f>
        <v>-161.702799999999</v>
      </c>
      <c r="L8" s="26" t="n">
        <f aca="false">K8</f>
        <v>-161.702799999999</v>
      </c>
      <c r="M8" s="26" t="n">
        <f aca="false">M7+L8</f>
        <v>-45904.9428</v>
      </c>
      <c r="N8" s="24" t="n">
        <f aca="false">IF(M8&gt;=0,1,0)</f>
        <v>0</v>
      </c>
    </row>
    <row r="9" customFormat="false" ht="15" hidden="false" customHeight="false" outlineLevel="0" collapsed="false">
      <c r="A9" s="24" t="n">
        <f aca="false">A8+1</f>
        <v>4</v>
      </c>
      <c r="B9" s="25" t="n">
        <f aca="false">MIN(Premissas!$C$10,B8*(1-Premissas!$C$11)+IF(A9=1,Premissas!$C$8,Premissas!$C$9*Premissas!$B$25))</f>
        <v>5.279023</v>
      </c>
      <c r="C9" s="25" t="n">
        <f aca="false">MAX(0,B9-B8*(1-Premissas!$C$11))</f>
        <v>1.5</v>
      </c>
      <c r="D9" s="26" t="n">
        <f aca="false">B9*Premissas!$C$6*Premissas!$B$26</f>
        <v>6334.8276</v>
      </c>
      <c r="E9" s="26" t="n">
        <f aca="false">C9*Premissas!$C$7*Premissas!$B$26</f>
        <v>12000</v>
      </c>
      <c r="F9" s="26" t="n">
        <f aca="false">D9+E9</f>
        <v>18334.8276</v>
      </c>
      <c r="G9" s="26" t="n">
        <f aca="false">F9*Premissas!$C$13</f>
        <v>1100.089656</v>
      </c>
      <c r="H9" s="26" t="n">
        <f aca="false">F9*Premissas!$C$12</f>
        <v>6417.18966</v>
      </c>
      <c r="I9" s="26" t="n">
        <f aca="false">F9-G9-H9</f>
        <v>10817.548284</v>
      </c>
      <c r="J9" s="26" t="n">
        <f aca="false">Premissas!$C$14+Premissas!$C$15</f>
        <v>10000</v>
      </c>
      <c r="K9" s="26" t="n">
        <f aca="false">I9-J9</f>
        <v>817.548284</v>
      </c>
      <c r="L9" s="26" t="n">
        <f aca="false">K9</f>
        <v>817.548284</v>
      </c>
      <c r="M9" s="26" t="n">
        <f aca="false">M8+L9</f>
        <v>-45087.394516</v>
      </c>
      <c r="N9" s="24" t="n">
        <f aca="false">IF(M9&gt;=0,1,0)</f>
        <v>0</v>
      </c>
    </row>
    <row r="10" customFormat="false" ht="15" hidden="false" customHeight="false" outlineLevel="0" collapsed="false">
      <c r="A10" s="24" t="n">
        <f aca="false">A9+1</f>
        <v>5</v>
      </c>
      <c r="B10" s="25" t="n">
        <f aca="false">MIN(Premissas!$C$10,B9*(1-Premissas!$C$11)+IF(A10=1,Premissas!$C$8,Premissas!$C$9*Premissas!$B$25))</f>
        <v>6.62065231</v>
      </c>
      <c r="C10" s="25" t="n">
        <f aca="false">MAX(0,B10-B9*(1-Premissas!$C$11))</f>
        <v>1.5</v>
      </c>
      <c r="D10" s="26" t="n">
        <f aca="false">B10*Premissas!$C$6*Premissas!$B$26</f>
        <v>7944.782772</v>
      </c>
      <c r="E10" s="26" t="n">
        <f aca="false">C10*Premissas!$C$7*Premissas!$B$26</f>
        <v>12000</v>
      </c>
      <c r="F10" s="26" t="n">
        <f aca="false">D10+E10</f>
        <v>19944.782772</v>
      </c>
      <c r="G10" s="26" t="n">
        <f aca="false">F10*Premissas!$C$13</f>
        <v>1196.68696632</v>
      </c>
      <c r="H10" s="26" t="n">
        <f aca="false">F10*Premissas!$C$12</f>
        <v>6980.6739702</v>
      </c>
      <c r="I10" s="26" t="n">
        <f aca="false">F10-G10-H10</f>
        <v>11767.42183548</v>
      </c>
      <c r="J10" s="26" t="n">
        <f aca="false">Premissas!$C$14+Premissas!$C$15</f>
        <v>10000</v>
      </c>
      <c r="K10" s="26" t="n">
        <f aca="false">I10-J10</f>
        <v>1767.42183548</v>
      </c>
      <c r="L10" s="26" t="n">
        <f aca="false">K10</f>
        <v>1767.42183548</v>
      </c>
      <c r="M10" s="26" t="n">
        <f aca="false">M9+L10</f>
        <v>-43319.97268052</v>
      </c>
      <c r="N10" s="24" t="n">
        <f aca="false">IF(M10&gt;=0,1,0)</f>
        <v>0</v>
      </c>
    </row>
    <row r="11" customFormat="false" ht="15" hidden="false" customHeight="false" outlineLevel="0" collapsed="false">
      <c r="A11" s="24" t="n">
        <f aca="false">A10+1</f>
        <v>6</v>
      </c>
      <c r="B11" s="25" t="n">
        <f aca="false">MIN(Premissas!$C$10,B10*(1-Premissas!$C$11)+IF(A11=1,Premissas!$C$8,Premissas!$C$9*Premissas!$B$25))</f>
        <v>7.9220327407</v>
      </c>
      <c r="C11" s="25" t="n">
        <f aca="false">MAX(0,B11-B10*(1-Premissas!$C$11))</f>
        <v>1.5</v>
      </c>
      <c r="D11" s="26" t="n">
        <f aca="false">B11*Premissas!$C$6*Premissas!$B$26</f>
        <v>9506.43928884</v>
      </c>
      <c r="E11" s="26" t="n">
        <f aca="false">C11*Premissas!$C$7*Premissas!$B$26</f>
        <v>12000</v>
      </c>
      <c r="F11" s="26" t="n">
        <f aca="false">D11+E11</f>
        <v>21506.43928884</v>
      </c>
      <c r="G11" s="26" t="n">
        <f aca="false">F11*Premissas!$C$13</f>
        <v>1290.3863573304</v>
      </c>
      <c r="H11" s="26" t="n">
        <f aca="false">F11*Premissas!$C$12</f>
        <v>7527.253751094</v>
      </c>
      <c r="I11" s="26" t="n">
        <f aca="false">F11-G11-H11</f>
        <v>12688.7991804156</v>
      </c>
      <c r="J11" s="26" t="n">
        <f aca="false">Premissas!$C$14+Premissas!$C$15</f>
        <v>10000</v>
      </c>
      <c r="K11" s="26" t="n">
        <f aca="false">I11-J11</f>
        <v>2688.7991804156</v>
      </c>
      <c r="L11" s="26" t="n">
        <f aca="false">K11</f>
        <v>2688.7991804156</v>
      </c>
      <c r="M11" s="26" t="n">
        <f aca="false">M10+L11</f>
        <v>-40631.1735001044</v>
      </c>
      <c r="N11" s="24" t="n">
        <f aca="false">IF(M11&gt;=0,1,0)</f>
        <v>0</v>
      </c>
    </row>
    <row r="12" customFormat="false" ht="15" hidden="false" customHeight="false" outlineLevel="0" collapsed="false">
      <c r="A12" s="24" t="n">
        <f aca="false">A11+1</f>
        <v>7</v>
      </c>
      <c r="B12" s="25" t="n">
        <f aca="false">MIN(Premissas!$C$10,B11*(1-Premissas!$C$11)+IF(A12=1,Premissas!$C$8,Premissas!$C$9*Premissas!$B$25))</f>
        <v>9.184371758479</v>
      </c>
      <c r="C12" s="25" t="n">
        <f aca="false">MAX(0,B12-B11*(1-Premissas!$C$11))</f>
        <v>1.5</v>
      </c>
      <c r="D12" s="26" t="n">
        <f aca="false">B12*Premissas!$C$6*Premissas!$B$26</f>
        <v>11021.2461101748</v>
      </c>
      <c r="E12" s="26" t="n">
        <f aca="false">C12*Premissas!$C$7*Premissas!$B$26</f>
        <v>12000</v>
      </c>
      <c r="F12" s="26" t="n">
        <f aca="false">D12+E12</f>
        <v>23021.2461101748</v>
      </c>
      <c r="G12" s="26" t="n">
        <f aca="false">F12*Premissas!$C$13</f>
        <v>1381.27476661049</v>
      </c>
      <c r="H12" s="26" t="n">
        <f aca="false">F12*Premissas!$C$12</f>
        <v>8057.43613856118</v>
      </c>
      <c r="I12" s="26" t="n">
        <f aca="false">F12-G12-H12</f>
        <v>13582.5352050031</v>
      </c>
      <c r="J12" s="26" t="n">
        <f aca="false">Premissas!$C$14+Premissas!$C$15</f>
        <v>10000</v>
      </c>
      <c r="K12" s="26" t="n">
        <f aca="false">I12-J12</f>
        <v>3582.53520500313</v>
      </c>
      <c r="L12" s="26" t="n">
        <f aca="false">K12</f>
        <v>3582.53520500313</v>
      </c>
      <c r="M12" s="26" t="n">
        <f aca="false">M11+L12</f>
        <v>-37048.6382951013</v>
      </c>
      <c r="N12" s="24" t="n">
        <f aca="false">IF(M12&gt;=0,1,0)</f>
        <v>0</v>
      </c>
    </row>
    <row r="13" customFormat="false" ht="15" hidden="false" customHeight="false" outlineLevel="0" collapsed="false">
      <c r="A13" s="24" t="n">
        <f aca="false">A12+1</f>
        <v>8</v>
      </c>
      <c r="B13" s="25" t="n">
        <f aca="false">MIN(Premissas!$C$10,B12*(1-Premissas!$C$11)+IF(A13=1,Premissas!$C$8,Premissas!$C$9*Premissas!$B$25))</f>
        <v>10.4088406057246</v>
      </c>
      <c r="C13" s="25" t="n">
        <f aca="false">MAX(0,B13-B12*(1-Premissas!$C$11))</f>
        <v>1.5</v>
      </c>
      <c r="D13" s="26" t="n">
        <f aca="false">B13*Premissas!$C$6*Premissas!$B$26</f>
        <v>12490.6087268696</v>
      </c>
      <c r="E13" s="26" t="n">
        <f aca="false">C13*Premissas!$C$7*Premissas!$B$26</f>
        <v>12000</v>
      </c>
      <c r="F13" s="26" t="n">
        <f aca="false">D13+E13</f>
        <v>24490.6087268696</v>
      </c>
      <c r="G13" s="26" t="n">
        <f aca="false">F13*Premissas!$C$13</f>
        <v>1469.43652361217</v>
      </c>
      <c r="H13" s="26" t="n">
        <f aca="false">F13*Premissas!$C$12</f>
        <v>8571.71305440435</v>
      </c>
      <c r="I13" s="26" t="n">
        <f aca="false">F13-G13-H13</f>
        <v>14449.459148853</v>
      </c>
      <c r="J13" s="26" t="n">
        <f aca="false">Premissas!$C$14+Premissas!$C$15</f>
        <v>10000</v>
      </c>
      <c r="K13" s="26" t="n">
        <f aca="false">I13-J13</f>
        <v>4449.45914885304</v>
      </c>
      <c r="L13" s="26" t="n">
        <f aca="false">K13</f>
        <v>4449.45914885304</v>
      </c>
      <c r="M13" s="26" t="n">
        <f aca="false">M12+L13</f>
        <v>-32599.1791462482</v>
      </c>
      <c r="N13" s="24" t="n">
        <f aca="false">IF(M13&gt;=0,1,0)</f>
        <v>0</v>
      </c>
    </row>
    <row r="14" customFormat="false" ht="15" hidden="false" customHeight="false" outlineLevel="0" collapsed="false">
      <c r="A14" s="24" t="n">
        <f aca="false">A13+1</f>
        <v>9</v>
      </c>
      <c r="B14" s="25" t="n">
        <f aca="false">MIN(Premissas!$C$10,B13*(1-Premissas!$C$11)+IF(A14=1,Premissas!$C$8,Premissas!$C$9*Premissas!$B$25))</f>
        <v>11.5965753875529</v>
      </c>
      <c r="C14" s="25" t="n">
        <f aca="false">MAX(0,B14-B13*(1-Premissas!$C$11))</f>
        <v>1.5</v>
      </c>
      <c r="D14" s="26" t="n">
        <f aca="false">B14*Premissas!$C$6*Premissas!$B$26</f>
        <v>13915.8904650635</v>
      </c>
      <c r="E14" s="26" t="n">
        <f aca="false">C14*Premissas!$C$7*Premissas!$B$26</f>
        <v>12000</v>
      </c>
      <c r="F14" s="26" t="n">
        <f aca="false">D14+E14</f>
        <v>25915.8904650635</v>
      </c>
      <c r="G14" s="26" t="n">
        <f aca="false">F14*Premissas!$C$13</f>
        <v>1554.95342790381</v>
      </c>
      <c r="H14" s="26" t="n">
        <f aca="false">F14*Premissas!$C$12</f>
        <v>9070.56166277221</v>
      </c>
      <c r="I14" s="26" t="n">
        <f aca="false">F14-G14-H14</f>
        <v>15290.3753743874</v>
      </c>
      <c r="J14" s="26" t="n">
        <f aca="false">Premissas!$C$14+Premissas!$C$15</f>
        <v>10000</v>
      </c>
      <c r="K14" s="26" t="n">
        <f aca="false">I14-J14</f>
        <v>5290.37537438745</v>
      </c>
      <c r="L14" s="26" t="n">
        <f aca="false">K14</f>
        <v>5290.37537438745</v>
      </c>
      <c r="M14" s="26" t="n">
        <f aca="false">M13+L14</f>
        <v>-27308.8037718608</v>
      </c>
      <c r="N14" s="24" t="n">
        <f aca="false">IF(M14&gt;=0,1,0)</f>
        <v>0</v>
      </c>
    </row>
    <row r="15" customFormat="false" ht="15" hidden="false" customHeight="false" outlineLevel="0" collapsed="false">
      <c r="A15" s="24" t="n">
        <f aca="false">A14+1</f>
        <v>10</v>
      </c>
      <c r="B15" s="25" t="n">
        <f aca="false">MIN(Premissas!$C$10,B14*(1-Premissas!$C$11)+IF(A15=1,Premissas!$C$8,Premissas!$C$9*Premissas!$B$25))</f>
        <v>12.7486781259263</v>
      </c>
      <c r="C15" s="25" t="n">
        <f aca="false">MAX(0,B15-B14*(1-Premissas!$C$11))</f>
        <v>1.5</v>
      </c>
      <c r="D15" s="26" t="n">
        <f aca="false">B15*Premissas!$C$6*Premissas!$B$26</f>
        <v>15298.4137511116</v>
      </c>
      <c r="E15" s="26" t="n">
        <f aca="false">C15*Premissas!$C$7*Premissas!$B$26</f>
        <v>12000</v>
      </c>
      <c r="F15" s="26" t="n">
        <f aca="false">D15+E15</f>
        <v>27298.4137511116</v>
      </c>
      <c r="G15" s="26" t="n">
        <f aca="false">F15*Premissas!$C$13</f>
        <v>1637.90482506669</v>
      </c>
      <c r="H15" s="26" t="n">
        <f aca="false">F15*Premissas!$C$12</f>
        <v>9554.44481288905</v>
      </c>
      <c r="I15" s="26" t="n">
        <f aca="false">F15-G15-H15</f>
        <v>16106.0641131558</v>
      </c>
      <c r="J15" s="26" t="n">
        <f aca="false">Premissas!$C$14+Premissas!$C$15</f>
        <v>10000</v>
      </c>
      <c r="K15" s="26" t="n">
        <f aca="false">I15-J15</f>
        <v>6106.06411315582</v>
      </c>
      <c r="L15" s="26" t="n">
        <f aca="false">K15</f>
        <v>6106.06411315582</v>
      </c>
      <c r="M15" s="26" t="n">
        <f aca="false">M14+L15</f>
        <v>-21202.739658705</v>
      </c>
      <c r="N15" s="24" t="n">
        <f aca="false">IF(M15&gt;=0,1,0)</f>
        <v>0</v>
      </c>
    </row>
    <row r="16" customFormat="false" ht="15" hidden="false" customHeight="false" outlineLevel="0" collapsed="false">
      <c r="A16" s="24" t="n">
        <f aca="false">A15+1</f>
        <v>11</v>
      </c>
      <c r="B16" s="25" t="n">
        <f aca="false">MIN(Premissas!$C$10,B15*(1-Premissas!$C$11)+IF(A16=1,Premissas!$C$8,Premissas!$C$9*Premissas!$B$25))</f>
        <v>13.8662177821485</v>
      </c>
      <c r="C16" s="25" t="n">
        <f aca="false">MAX(0,B16-B15*(1-Premissas!$C$11))</f>
        <v>1.5</v>
      </c>
      <c r="D16" s="26" t="n">
        <f aca="false">B16*Premissas!$C$6*Premissas!$B$26</f>
        <v>16639.4613385782</v>
      </c>
      <c r="E16" s="26" t="n">
        <f aca="false">C16*Premissas!$C$7*Premissas!$B$26</f>
        <v>12000</v>
      </c>
      <c r="F16" s="26" t="n">
        <f aca="false">D16+E16</f>
        <v>28639.4613385782</v>
      </c>
      <c r="G16" s="26" t="n">
        <f aca="false">F16*Premissas!$C$13</f>
        <v>1718.36768031469</v>
      </c>
      <c r="H16" s="26" t="n">
        <f aca="false">F16*Premissas!$C$12</f>
        <v>10023.8114685024</v>
      </c>
      <c r="I16" s="26" t="n">
        <f aca="false">F16-G16-H16</f>
        <v>16897.2821897612</v>
      </c>
      <c r="J16" s="26" t="n">
        <f aca="false">Premissas!$C$14+Premissas!$C$15</f>
        <v>10000</v>
      </c>
      <c r="K16" s="26" t="n">
        <f aca="false">I16-J16</f>
        <v>6897.28218976115</v>
      </c>
      <c r="L16" s="26" t="n">
        <f aca="false">K16</f>
        <v>6897.28218976115</v>
      </c>
      <c r="M16" s="26" t="n">
        <f aca="false">M15+L16</f>
        <v>-14305.4574689438</v>
      </c>
      <c r="N16" s="24" t="n">
        <f aca="false">IF(M16&gt;=0,1,0)</f>
        <v>0</v>
      </c>
    </row>
    <row r="17" customFormat="false" ht="15" hidden="false" customHeight="false" outlineLevel="0" collapsed="false">
      <c r="A17" s="28" t="n">
        <f aca="false">A16+1</f>
        <v>12</v>
      </c>
      <c r="B17" s="29" t="n">
        <f aca="false">MIN(Premissas!$C$10,B16*(1-Premissas!$C$11)+IF(A17=1,Premissas!$C$8,Premissas!$C$9*Premissas!$B$25))</f>
        <v>14.9502312486841</v>
      </c>
      <c r="C17" s="29" t="n">
        <f aca="false">MAX(0,B17-B16*(1-Premissas!$C$11))</f>
        <v>1.5</v>
      </c>
      <c r="D17" s="30" t="n">
        <f aca="false">B17*Premissas!$C$6*Premissas!$B$26</f>
        <v>17940.2774984209</v>
      </c>
      <c r="E17" s="30" t="n">
        <f aca="false">C17*Premissas!$C$7*Premissas!$B$26</f>
        <v>12000</v>
      </c>
      <c r="F17" s="30" t="n">
        <f aca="false">D17+E17</f>
        <v>29940.2774984209</v>
      </c>
      <c r="G17" s="30" t="n">
        <f aca="false">F17*Premissas!$C$13</f>
        <v>1796.41664990525</v>
      </c>
      <c r="H17" s="30" t="n">
        <f aca="false">F17*Premissas!$C$12</f>
        <v>10479.0971244473</v>
      </c>
      <c r="I17" s="30" t="n">
        <f aca="false">F17-G17-H17</f>
        <v>17664.7637240683</v>
      </c>
      <c r="J17" s="30" t="n">
        <f aca="false">Premissas!$C$14+Premissas!$C$15</f>
        <v>10000</v>
      </c>
      <c r="K17" s="30" t="n">
        <f aca="false">I17-J17</f>
        <v>7664.76372406831</v>
      </c>
      <c r="L17" s="30" t="n">
        <f aca="false">K17</f>
        <v>7664.76372406831</v>
      </c>
      <c r="M17" s="30" t="n">
        <f aca="false">M16+L17</f>
        <v>-6640.69374487549</v>
      </c>
      <c r="N17" s="28" t="n">
        <f aca="false">IF(M17&gt;=0,1,0)</f>
        <v>0</v>
      </c>
    </row>
    <row r="18" customFormat="false" ht="15" hidden="false" customHeight="false" outlineLevel="0" collapsed="false">
      <c r="A18" s="24" t="n">
        <f aca="false">A17+1</f>
        <v>13</v>
      </c>
      <c r="B18" s="25" t="n">
        <f aca="false">MIN(Premissas!$C$10,B17*(1-Premissas!$C$11)+IF(A18=1,Premissas!$C$8,Premissas!$C$9*Premissas!$B$25))</f>
        <v>16.0017243112235</v>
      </c>
      <c r="C18" s="25" t="n">
        <f aca="false">MAX(0,B18-B17*(1-Premissas!$C$11))</f>
        <v>1.5</v>
      </c>
      <c r="D18" s="26" t="n">
        <f aca="false">B18*Premissas!$C$6*Premissas!$B$26</f>
        <v>19202.0691734682</v>
      </c>
      <c r="E18" s="26" t="n">
        <f aca="false">C18*Premissas!$C$7*Premissas!$B$26</f>
        <v>12000</v>
      </c>
      <c r="F18" s="26" t="n">
        <f aca="false">D18+E18</f>
        <v>31202.0691734682</v>
      </c>
      <c r="G18" s="26" t="n">
        <f aca="false">F18*Premissas!$C$13</f>
        <v>1872.12415040809</v>
      </c>
      <c r="H18" s="26" t="n">
        <f aca="false">F18*Premissas!$C$12</f>
        <v>10920.7242107139</v>
      </c>
      <c r="I18" s="26" t="n">
        <f aca="false">F18-G18-H18</f>
        <v>18409.2208123463</v>
      </c>
      <c r="J18" s="26" t="n">
        <f aca="false">Premissas!$C$14+Premissas!$C$15</f>
        <v>10000</v>
      </c>
      <c r="K18" s="26" t="n">
        <f aca="false">I18-J18</f>
        <v>8409.22081234627</v>
      </c>
      <c r="L18" s="26" t="n">
        <f aca="false">K18</f>
        <v>8409.22081234627</v>
      </c>
      <c r="M18" s="26" t="n">
        <f aca="false">M17+L18</f>
        <v>1768.52706747077</v>
      </c>
      <c r="N18" s="24" t="n">
        <f aca="false">IF(M18&gt;=0,1,0)</f>
        <v>1</v>
      </c>
    </row>
    <row r="19" customFormat="false" ht="15" hidden="false" customHeight="false" outlineLevel="0" collapsed="false">
      <c r="A19" s="24" t="n">
        <f aca="false">A18+1</f>
        <v>14</v>
      </c>
      <c r="B19" s="25" t="n">
        <f aca="false">MIN(Premissas!$C$10,B18*(1-Premissas!$C$11)+IF(A19=1,Premissas!$C$8,Premissas!$C$9*Premissas!$B$25))</f>
        <v>17.0216725818868</v>
      </c>
      <c r="C19" s="25" t="n">
        <f aca="false">MAX(0,B19-B18*(1-Premissas!$C$11))</f>
        <v>1.5</v>
      </c>
      <c r="D19" s="26" t="n">
        <f aca="false">B19*Premissas!$C$6*Premissas!$B$26</f>
        <v>20426.0070982642</v>
      </c>
      <c r="E19" s="26" t="n">
        <f aca="false">C19*Premissas!$C$7*Premissas!$B$26</f>
        <v>12000</v>
      </c>
      <c r="F19" s="26" t="n">
        <f aca="false">D19+E19</f>
        <v>32426.0070982642</v>
      </c>
      <c r="G19" s="26" t="n">
        <f aca="false">F19*Premissas!$C$13</f>
        <v>1945.56042589585</v>
      </c>
      <c r="H19" s="26" t="n">
        <f aca="false">F19*Premissas!$C$12</f>
        <v>11349.1024843925</v>
      </c>
      <c r="I19" s="26" t="n">
        <f aca="false">F19-G19-H19</f>
        <v>19131.3441879759</v>
      </c>
      <c r="J19" s="26" t="n">
        <f aca="false">Premissas!$C$14+Premissas!$C$15</f>
        <v>10000</v>
      </c>
      <c r="K19" s="26" t="n">
        <f aca="false">I19-J19</f>
        <v>9131.34418797589</v>
      </c>
      <c r="L19" s="26" t="n">
        <f aca="false">K19</f>
        <v>9131.34418797589</v>
      </c>
      <c r="M19" s="26" t="n">
        <f aca="false">M18+L19</f>
        <v>10899.8712554467</v>
      </c>
      <c r="N19" s="24" t="n">
        <f aca="false">IF(M19&gt;=0,1,0)</f>
        <v>1</v>
      </c>
    </row>
    <row r="20" customFormat="false" ht="15" hidden="false" customHeight="false" outlineLevel="0" collapsed="false">
      <c r="A20" s="24" t="n">
        <f aca="false">A19+1</f>
        <v>15</v>
      </c>
      <c r="B20" s="25" t="n">
        <f aca="false">MIN(Premissas!$C$10,B19*(1-Premissas!$C$11)+IF(A20=1,Premissas!$C$8,Premissas!$C$9*Premissas!$B$25))</f>
        <v>18.0110224044302</v>
      </c>
      <c r="C20" s="25" t="n">
        <f aca="false">MAX(0,B20-B19*(1-Premissas!$C$11))</f>
        <v>1.5</v>
      </c>
      <c r="D20" s="26" t="n">
        <f aca="false">B20*Premissas!$C$6*Premissas!$B$26</f>
        <v>21613.2268853163</v>
      </c>
      <c r="E20" s="26" t="n">
        <f aca="false">C20*Premissas!$C$7*Premissas!$B$26</f>
        <v>12000</v>
      </c>
      <c r="F20" s="26" t="n">
        <f aca="false">D20+E20</f>
        <v>33613.2268853163</v>
      </c>
      <c r="G20" s="26" t="n">
        <f aca="false">F20*Premissas!$C$13</f>
        <v>2016.79361311898</v>
      </c>
      <c r="H20" s="26" t="n">
        <f aca="false">F20*Premissas!$C$12</f>
        <v>11764.6294098607</v>
      </c>
      <c r="I20" s="26" t="n">
        <f aca="false">F20-G20-H20</f>
        <v>19831.8038623366</v>
      </c>
      <c r="J20" s="26" t="n">
        <f aca="false">Premissas!$C$14+Premissas!$C$15</f>
        <v>10000</v>
      </c>
      <c r="K20" s="26" t="n">
        <f aca="false">I20-J20</f>
        <v>9831.8038623366</v>
      </c>
      <c r="L20" s="26" t="n">
        <f aca="false">K20</f>
        <v>9831.8038623366</v>
      </c>
      <c r="M20" s="26" t="n">
        <f aca="false">M19+L20</f>
        <v>20731.6751177833</v>
      </c>
      <c r="N20" s="24" t="n">
        <f aca="false">IF(M20&gt;=0,1,0)</f>
        <v>1</v>
      </c>
    </row>
    <row r="21" customFormat="false" ht="15" hidden="false" customHeight="false" outlineLevel="0" collapsed="false">
      <c r="A21" s="24" t="n">
        <f aca="false">A20+1</f>
        <v>16</v>
      </c>
      <c r="B21" s="25" t="n">
        <f aca="false">MIN(Premissas!$C$10,B20*(1-Premissas!$C$11)+IF(A21=1,Premissas!$C$8,Premissas!$C$9*Premissas!$B$25))</f>
        <v>18.9706917322973</v>
      </c>
      <c r="C21" s="25" t="n">
        <f aca="false">MAX(0,B21-B20*(1-Premissas!$C$11))</f>
        <v>1.5</v>
      </c>
      <c r="D21" s="26" t="n">
        <f aca="false">B21*Premissas!$C$6*Premissas!$B$26</f>
        <v>22764.8300787568</v>
      </c>
      <c r="E21" s="26" t="n">
        <f aca="false">C21*Premissas!$C$7*Premissas!$B$26</f>
        <v>12000</v>
      </c>
      <c r="F21" s="26" t="n">
        <f aca="false">D21+E21</f>
        <v>34764.8300787568</v>
      </c>
      <c r="G21" s="26" t="n">
        <f aca="false">F21*Premissas!$C$13</f>
        <v>2085.88980472541</v>
      </c>
      <c r="H21" s="26" t="n">
        <f aca="false">F21*Premissas!$C$12</f>
        <v>12167.6905275649</v>
      </c>
      <c r="I21" s="26" t="n">
        <f aca="false">F21-G21-H21</f>
        <v>20511.2497464665</v>
      </c>
      <c r="J21" s="26" t="n">
        <f aca="false">Premissas!$C$14+Premissas!$C$15</f>
        <v>10000</v>
      </c>
      <c r="K21" s="26" t="n">
        <f aca="false">I21-J21</f>
        <v>10511.2497464665</v>
      </c>
      <c r="L21" s="26" t="n">
        <f aca="false">K21</f>
        <v>10511.2497464665</v>
      </c>
      <c r="M21" s="26" t="n">
        <f aca="false">M20+L21</f>
        <v>31242.9248642498</v>
      </c>
      <c r="N21" s="24" t="n">
        <f aca="false">IF(M21&gt;=0,1,0)</f>
        <v>1</v>
      </c>
    </row>
    <row r="22" customFormat="false" ht="15" hidden="false" customHeight="false" outlineLevel="0" collapsed="false">
      <c r="A22" s="24" t="n">
        <f aca="false">A21+1</f>
        <v>17</v>
      </c>
      <c r="B22" s="25" t="n">
        <f aca="false">MIN(Premissas!$C$10,B21*(1-Premissas!$C$11)+IF(A22=1,Premissas!$C$8,Premissas!$C$9*Premissas!$B$25))</f>
        <v>19.9015709803284</v>
      </c>
      <c r="C22" s="25" t="n">
        <f aca="false">MAX(0,B22-B21*(1-Premissas!$C$11))</f>
        <v>1.5</v>
      </c>
      <c r="D22" s="26" t="n">
        <f aca="false">B22*Premissas!$C$6*Premissas!$B$26</f>
        <v>23881.8851763941</v>
      </c>
      <c r="E22" s="26" t="n">
        <f aca="false">C22*Premissas!$C$7*Premissas!$B$26</f>
        <v>12000</v>
      </c>
      <c r="F22" s="26" t="n">
        <f aca="false">D22+E22</f>
        <v>35881.8851763941</v>
      </c>
      <c r="G22" s="26" t="n">
        <f aca="false">F22*Premissas!$C$13</f>
        <v>2152.91311058364</v>
      </c>
      <c r="H22" s="26" t="n">
        <f aca="false">F22*Premissas!$C$12</f>
        <v>12558.6598117379</v>
      </c>
      <c r="I22" s="26" t="n">
        <f aca="false">F22-G22-H22</f>
        <v>21170.3122540725</v>
      </c>
      <c r="J22" s="26" t="n">
        <f aca="false">Premissas!$C$14+Premissas!$C$15</f>
        <v>10000</v>
      </c>
      <c r="K22" s="26" t="n">
        <f aca="false">I22-J22</f>
        <v>11170.3122540725</v>
      </c>
      <c r="L22" s="26" t="n">
        <f aca="false">K22</f>
        <v>11170.3122540725</v>
      </c>
      <c r="M22" s="26" t="n">
        <f aca="false">M21+L22</f>
        <v>42413.2371183223</v>
      </c>
      <c r="N22" s="24" t="n">
        <f aca="false">IF(M22&gt;=0,1,0)</f>
        <v>1</v>
      </c>
    </row>
    <row r="23" customFormat="false" ht="15" hidden="false" customHeight="false" outlineLevel="0" collapsed="false">
      <c r="A23" s="24" t="n">
        <f aca="false">A22+1</f>
        <v>18</v>
      </c>
      <c r="B23" s="25" t="n">
        <f aca="false">MIN(Premissas!$C$10,B22*(1-Premissas!$C$11)+IF(A23=1,Premissas!$C$8,Premissas!$C$9*Premissas!$B$25))</f>
        <v>20.8045238509186</v>
      </c>
      <c r="C23" s="25" t="n">
        <f aca="false">MAX(0,B23-B22*(1-Premissas!$C$11))</f>
        <v>1.5</v>
      </c>
      <c r="D23" s="26" t="n">
        <f aca="false">B23*Premissas!$C$6*Premissas!$B$26</f>
        <v>24965.4286211023</v>
      </c>
      <c r="E23" s="26" t="n">
        <f aca="false">C23*Premissas!$C$7*Premissas!$B$26</f>
        <v>12000</v>
      </c>
      <c r="F23" s="26" t="n">
        <f aca="false">D23+E23</f>
        <v>36965.4286211023</v>
      </c>
      <c r="G23" s="26" t="n">
        <f aca="false">F23*Premissas!$C$13</f>
        <v>2217.92571726614</v>
      </c>
      <c r="H23" s="26" t="n">
        <f aca="false">F23*Premissas!$C$12</f>
        <v>12937.9000173858</v>
      </c>
      <c r="I23" s="26" t="n">
        <f aca="false">F23-G23-H23</f>
        <v>21809.6028864503</v>
      </c>
      <c r="J23" s="26" t="n">
        <f aca="false">Premissas!$C$14+Premissas!$C$15</f>
        <v>10000</v>
      </c>
      <c r="K23" s="26" t="n">
        <f aca="false">I23-J23</f>
        <v>11809.6028864503</v>
      </c>
      <c r="L23" s="26" t="n">
        <f aca="false">K23</f>
        <v>11809.6028864503</v>
      </c>
      <c r="M23" s="26" t="n">
        <f aca="false">M22+L23</f>
        <v>54222.8400047726</v>
      </c>
      <c r="N23" s="24" t="n">
        <f aca="false">IF(M23&gt;=0,1,0)</f>
        <v>1</v>
      </c>
    </row>
    <row r="24" customFormat="false" ht="15" hidden="false" customHeight="false" outlineLevel="0" collapsed="false">
      <c r="A24" s="24" t="n">
        <f aca="false">A23+1</f>
        <v>19</v>
      </c>
      <c r="B24" s="25" t="n">
        <f aca="false">MIN(Premissas!$C$10,B23*(1-Premissas!$C$11)+IF(A24=1,Premissas!$C$8,Premissas!$C$9*Premissas!$B$25))</f>
        <v>21.680388135391</v>
      </c>
      <c r="C24" s="25" t="n">
        <f aca="false">MAX(0,B24-B23*(1-Premissas!$C$11))</f>
        <v>1.5</v>
      </c>
      <c r="D24" s="26" t="n">
        <f aca="false">B24*Premissas!$C$6*Premissas!$B$26</f>
        <v>26016.4657624692</v>
      </c>
      <c r="E24" s="26" t="n">
        <f aca="false">C24*Premissas!$C$7*Premissas!$B$26</f>
        <v>12000</v>
      </c>
      <c r="F24" s="26" t="n">
        <f aca="false">D24+E24</f>
        <v>38016.4657624692</v>
      </c>
      <c r="G24" s="26" t="n">
        <f aca="false">F24*Premissas!$C$13</f>
        <v>2280.98794574815</v>
      </c>
      <c r="H24" s="26" t="n">
        <f aca="false">F24*Premissas!$C$12</f>
        <v>13305.7630168642</v>
      </c>
      <c r="I24" s="26" t="n">
        <f aca="false">F24-G24-H24</f>
        <v>22429.7147998568</v>
      </c>
      <c r="J24" s="26" t="n">
        <f aca="false">Premissas!$C$14+Premissas!$C$15</f>
        <v>10000</v>
      </c>
      <c r="K24" s="26" t="n">
        <f aca="false">I24-J24</f>
        <v>12429.7147998568</v>
      </c>
      <c r="L24" s="26" t="n">
        <f aca="false">K24</f>
        <v>12429.7147998568</v>
      </c>
      <c r="M24" s="26" t="n">
        <f aca="false">M23+L24</f>
        <v>66652.5548046294</v>
      </c>
      <c r="N24" s="24" t="n">
        <f aca="false">IF(M24&gt;=0,1,0)</f>
        <v>1</v>
      </c>
    </row>
    <row r="25" customFormat="false" ht="15" hidden="false" customHeight="false" outlineLevel="0" collapsed="false">
      <c r="A25" s="24" t="n">
        <f aca="false">A24+1</f>
        <v>20</v>
      </c>
      <c r="B25" s="25" t="n">
        <f aca="false">MIN(Premissas!$C$10,B24*(1-Premissas!$C$11)+IF(A25=1,Premissas!$C$8,Premissas!$C$9*Premissas!$B$25))</f>
        <v>22.5299764913293</v>
      </c>
      <c r="C25" s="25" t="n">
        <f aca="false">MAX(0,B25-B24*(1-Premissas!$C$11))</f>
        <v>1.5</v>
      </c>
      <c r="D25" s="26" t="n">
        <f aca="false">B25*Premissas!$C$6*Premissas!$B$26</f>
        <v>27035.9717895951</v>
      </c>
      <c r="E25" s="26" t="n">
        <f aca="false">C25*Premissas!$C$7*Premissas!$B$26</f>
        <v>12000</v>
      </c>
      <c r="F25" s="26" t="n">
        <f aca="false">D25+E25</f>
        <v>39035.9717895951</v>
      </c>
      <c r="G25" s="26" t="n">
        <f aca="false">F25*Premissas!$C$13</f>
        <v>2342.15830737571</v>
      </c>
      <c r="H25" s="26" t="n">
        <f aca="false">F25*Premissas!$C$12</f>
        <v>13662.5901263583</v>
      </c>
      <c r="I25" s="26" t="n">
        <f aca="false">F25-G25-H25</f>
        <v>23031.2233558611</v>
      </c>
      <c r="J25" s="26" t="n">
        <f aca="false">Premissas!$C$14+Premissas!$C$15</f>
        <v>10000</v>
      </c>
      <c r="K25" s="26" t="n">
        <f aca="false">I25-J25</f>
        <v>13031.2233558611</v>
      </c>
      <c r="L25" s="26" t="n">
        <f aca="false">K25</f>
        <v>13031.2233558611</v>
      </c>
      <c r="M25" s="26" t="n">
        <f aca="false">M24+L25</f>
        <v>79683.7781604906</v>
      </c>
      <c r="N25" s="24" t="n">
        <f aca="false">IF(M25&gt;=0,1,0)</f>
        <v>1</v>
      </c>
    </row>
    <row r="26" customFormat="false" ht="15" hidden="false" customHeight="false" outlineLevel="0" collapsed="false">
      <c r="A26" s="24" t="n">
        <f aca="false">A25+1</f>
        <v>21</v>
      </c>
      <c r="B26" s="25" t="n">
        <f aca="false">MIN(Premissas!$C$10,B25*(1-Premissas!$C$11)+IF(A26=1,Premissas!$C$8,Premissas!$C$9*Premissas!$B$25))</f>
        <v>23.3540771965894</v>
      </c>
      <c r="C26" s="25" t="n">
        <f aca="false">MAX(0,B26-B25*(1-Premissas!$C$11))</f>
        <v>1.5</v>
      </c>
      <c r="D26" s="26" t="n">
        <f aca="false">B26*Premissas!$C$6*Premissas!$B$26</f>
        <v>28024.8926359073</v>
      </c>
      <c r="E26" s="26" t="n">
        <f aca="false">C26*Premissas!$C$7*Premissas!$B$26</f>
        <v>12000</v>
      </c>
      <c r="F26" s="26" t="n">
        <f aca="false">D26+E26</f>
        <v>40024.8926359073</v>
      </c>
      <c r="G26" s="26" t="n">
        <f aca="false">F26*Premissas!$C$13</f>
        <v>2401.49355815444</v>
      </c>
      <c r="H26" s="26" t="n">
        <f aca="false">F26*Premissas!$C$12</f>
        <v>14008.7124225675</v>
      </c>
      <c r="I26" s="26" t="n">
        <f aca="false">F26-G26-H26</f>
        <v>23614.6866551853</v>
      </c>
      <c r="J26" s="26" t="n">
        <f aca="false">Premissas!$C$14+Premissas!$C$15</f>
        <v>10000</v>
      </c>
      <c r="K26" s="26" t="n">
        <f aca="false">I26-J26</f>
        <v>13614.6866551853</v>
      </c>
      <c r="L26" s="26" t="n">
        <f aca="false">K26</f>
        <v>13614.6866551853</v>
      </c>
      <c r="M26" s="26" t="n">
        <f aca="false">M25+L26</f>
        <v>93298.4648156758</v>
      </c>
      <c r="N26" s="24" t="n">
        <f aca="false">IF(M26&gt;=0,1,0)</f>
        <v>1</v>
      </c>
    </row>
    <row r="27" customFormat="false" ht="15" hidden="false" customHeight="false" outlineLevel="0" collapsed="false">
      <c r="A27" s="24" t="n">
        <f aca="false">A26+1</f>
        <v>22</v>
      </c>
      <c r="B27" s="25" t="n">
        <f aca="false">MIN(Premissas!$C$10,B26*(1-Premissas!$C$11)+IF(A27=1,Premissas!$C$8,Premissas!$C$9*Premissas!$B$25))</f>
        <v>24.1534548806917</v>
      </c>
      <c r="C27" s="25" t="n">
        <f aca="false">MAX(0,B27-B26*(1-Premissas!$C$11))</f>
        <v>1.5</v>
      </c>
      <c r="D27" s="26" t="n">
        <f aca="false">B27*Premissas!$C$6*Premissas!$B$26</f>
        <v>28984.14585683</v>
      </c>
      <c r="E27" s="26" t="n">
        <f aca="false">C27*Premissas!$C$7*Premissas!$B$26</f>
        <v>12000</v>
      </c>
      <c r="F27" s="26" t="n">
        <f aca="false">D27+E27</f>
        <v>40984.14585683</v>
      </c>
      <c r="G27" s="26" t="n">
        <f aca="false">F27*Premissas!$C$13</f>
        <v>2459.0487514098</v>
      </c>
      <c r="H27" s="26" t="n">
        <f aca="false">F27*Premissas!$C$12</f>
        <v>14344.4510498905</v>
      </c>
      <c r="I27" s="26" t="n">
        <f aca="false">F27-G27-H27</f>
        <v>24180.6460555297</v>
      </c>
      <c r="J27" s="26" t="n">
        <f aca="false">Premissas!$C$14+Premissas!$C$15</f>
        <v>10000</v>
      </c>
      <c r="K27" s="26" t="n">
        <f aca="false">I27-J27</f>
        <v>14180.6460555297</v>
      </c>
      <c r="L27" s="26" t="n">
        <f aca="false">K27</f>
        <v>14180.6460555297</v>
      </c>
      <c r="M27" s="26" t="n">
        <f aca="false">M26+L27</f>
        <v>107479.110871206</v>
      </c>
      <c r="N27" s="24" t="n">
        <f aca="false">IF(M27&gt;=0,1,0)</f>
        <v>1</v>
      </c>
    </row>
    <row r="28" customFormat="false" ht="15" hidden="false" customHeight="false" outlineLevel="0" collapsed="false">
      <c r="A28" s="24" t="n">
        <f aca="false">A27+1</f>
        <v>23</v>
      </c>
      <c r="B28" s="25" t="n">
        <f aca="false">MIN(Premissas!$C$10,B27*(1-Premissas!$C$11)+IF(A28=1,Premissas!$C$8,Premissas!$C$9*Premissas!$B$25))</f>
        <v>24.928851234271</v>
      </c>
      <c r="C28" s="25" t="n">
        <f aca="false">MAX(0,B28-B27*(1-Premissas!$C$11))</f>
        <v>1.5</v>
      </c>
      <c r="D28" s="26" t="n">
        <f aca="false">B28*Premissas!$C$6*Premissas!$B$26</f>
        <v>29914.6214811251</v>
      </c>
      <c r="E28" s="26" t="n">
        <f aca="false">C28*Premissas!$C$7*Premissas!$B$26</f>
        <v>12000</v>
      </c>
      <c r="F28" s="26" t="n">
        <f aca="false">D28+E28</f>
        <v>41914.6214811251</v>
      </c>
      <c r="G28" s="26" t="n">
        <f aca="false">F28*Premissas!$C$13</f>
        <v>2514.87728886751</v>
      </c>
      <c r="H28" s="26" t="n">
        <f aca="false">F28*Premissas!$C$12</f>
        <v>14670.1175183938</v>
      </c>
      <c r="I28" s="26" t="n">
        <f aca="false">F28-G28-H28</f>
        <v>24729.6266738638</v>
      </c>
      <c r="J28" s="26" t="n">
        <f aca="false">Premissas!$C$14+Premissas!$C$15</f>
        <v>10000</v>
      </c>
      <c r="K28" s="26" t="n">
        <f aca="false">I28-J28</f>
        <v>14729.6266738638</v>
      </c>
      <c r="L28" s="26" t="n">
        <f aca="false">K28</f>
        <v>14729.6266738638</v>
      </c>
      <c r="M28" s="26" t="n">
        <f aca="false">M27+L28</f>
        <v>122208.737545069</v>
      </c>
      <c r="N28" s="24" t="n">
        <f aca="false">IF(M28&gt;=0,1,0)</f>
        <v>1</v>
      </c>
    </row>
    <row r="29" customFormat="false" ht="15" hidden="false" customHeight="false" outlineLevel="0" collapsed="false">
      <c r="A29" s="28" t="n">
        <f aca="false">A28+1</f>
        <v>24</v>
      </c>
      <c r="B29" s="29" t="n">
        <f aca="false">MIN(Premissas!$C$10,B28*(1-Premissas!$C$11)+IF(A29=1,Premissas!$C$8,Premissas!$C$9*Premissas!$B$25))</f>
        <v>25.6809856972428</v>
      </c>
      <c r="C29" s="29" t="n">
        <f aca="false">MAX(0,B29-B28*(1-Premissas!$C$11))</f>
        <v>1.5</v>
      </c>
      <c r="D29" s="30" t="n">
        <f aca="false">B29*Premissas!$C$6*Premissas!$B$26</f>
        <v>30817.1828366914</v>
      </c>
      <c r="E29" s="30" t="n">
        <f aca="false">C29*Premissas!$C$7*Premissas!$B$26</f>
        <v>12000</v>
      </c>
      <c r="F29" s="30" t="n">
        <f aca="false">D29+E29</f>
        <v>42817.1828366914</v>
      </c>
      <c r="G29" s="30" t="n">
        <f aca="false">F29*Premissas!$C$13</f>
        <v>2569.03097020148</v>
      </c>
      <c r="H29" s="30" t="n">
        <f aca="false">F29*Premissas!$C$12</f>
        <v>14986.013992842</v>
      </c>
      <c r="I29" s="30" t="n">
        <f aca="false">F29-G29-H29</f>
        <v>25262.1378736479</v>
      </c>
      <c r="J29" s="30" t="n">
        <f aca="false">Premissas!$C$14+Premissas!$C$15</f>
        <v>10000</v>
      </c>
      <c r="K29" s="30" t="n">
        <f aca="false">I29-J29</f>
        <v>15262.1378736479</v>
      </c>
      <c r="L29" s="30" t="n">
        <f aca="false">K29</f>
        <v>15262.1378736479</v>
      </c>
      <c r="M29" s="30" t="n">
        <f aca="false">M28+L29</f>
        <v>137470.875418717</v>
      </c>
      <c r="N29" s="28" t="n">
        <f aca="false">IF(M29&gt;=0,1,0)</f>
        <v>1</v>
      </c>
    </row>
    <row r="30" customFormat="false" ht="15" hidden="false" customHeight="false" outlineLevel="0" collapsed="false">
      <c r="A30" s="24" t="n">
        <f aca="false">A29+1</f>
        <v>25</v>
      </c>
      <c r="B30" s="25" t="n">
        <f aca="false">MIN(Premissas!$C$10,B29*(1-Premissas!$C$11)+IF(A30=1,Premissas!$C$8,Premissas!$C$9*Premissas!$B$25))</f>
        <v>26.4105561263255</v>
      </c>
      <c r="C30" s="25" t="n">
        <f aca="false">MAX(0,B30-B29*(1-Premissas!$C$11))</f>
        <v>1.5</v>
      </c>
      <c r="D30" s="26" t="n">
        <f aca="false">B30*Premissas!$C$6*Premissas!$B$26</f>
        <v>31692.6673515906</v>
      </c>
      <c r="E30" s="26" t="n">
        <f aca="false">C30*Premissas!$C$7*Premissas!$B$26</f>
        <v>12000</v>
      </c>
      <c r="F30" s="26" t="n">
        <f aca="false">D30+E30</f>
        <v>43692.6673515906</v>
      </c>
      <c r="G30" s="26" t="n">
        <f aca="false">F30*Premissas!$C$13</f>
        <v>2621.56004109544</v>
      </c>
      <c r="H30" s="26" t="n">
        <f aca="false">F30*Premissas!$C$12</f>
        <v>15292.4335730567</v>
      </c>
      <c r="I30" s="26" t="n">
        <f aca="false">F30-G30-H30</f>
        <v>25778.6737374385</v>
      </c>
      <c r="J30" s="26" t="n">
        <f aca="false">Premissas!$C$14+Premissas!$C$15</f>
        <v>10000</v>
      </c>
      <c r="K30" s="26" t="n">
        <f aca="false">I30-J30</f>
        <v>15778.6737374385</v>
      </c>
      <c r="L30" s="26" t="n">
        <f aca="false">K30</f>
        <v>15778.6737374385</v>
      </c>
      <c r="M30" s="26" t="n">
        <f aca="false">M29+L30</f>
        <v>153249.549156156</v>
      </c>
      <c r="N30" s="24" t="n">
        <f aca="false">IF(M30&gt;=0,1,0)</f>
        <v>1</v>
      </c>
    </row>
    <row r="31" customFormat="false" ht="15" hidden="false" customHeight="false" outlineLevel="0" collapsed="false">
      <c r="A31" s="24" t="n">
        <f aca="false">A30+1</f>
        <v>26</v>
      </c>
      <c r="B31" s="25" t="n">
        <f aca="false">MIN(Premissas!$C$10,B30*(1-Premissas!$C$11)+IF(A31=1,Premissas!$C$8,Premissas!$C$9*Premissas!$B$25))</f>
        <v>27.1182394425358</v>
      </c>
      <c r="C31" s="25" t="n">
        <f aca="false">MAX(0,B31-B30*(1-Premissas!$C$11))</f>
        <v>1.5</v>
      </c>
      <c r="D31" s="26" t="n">
        <f aca="false">B31*Premissas!$C$6*Premissas!$B$26</f>
        <v>32541.8873310429</v>
      </c>
      <c r="E31" s="26" t="n">
        <f aca="false">C31*Premissas!$C$7*Premissas!$B$26</f>
        <v>12000</v>
      </c>
      <c r="F31" s="26" t="n">
        <f aca="false">D31+E31</f>
        <v>44541.8873310429</v>
      </c>
      <c r="G31" s="26" t="n">
        <f aca="false">F31*Premissas!$C$13</f>
        <v>2672.51323986258</v>
      </c>
      <c r="H31" s="26" t="n">
        <f aca="false">F31*Premissas!$C$12</f>
        <v>15589.660565865</v>
      </c>
      <c r="I31" s="26" t="n">
        <f aca="false">F31-G31-H31</f>
        <v>26279.7135253153</v>
      </c>
      <c r="J31" s="26" t="n">
        <f aca="false">Premissas!$C$14+Premissas!$C$15</f>
        <v>10000</v>
      </c>
      <c r="K31" s="26" t="n">
        <f aca="false">I31-J31</f>
        <v>16279.7135253153</v>
      </c>
      <c r="L31" s="26" t="n">
        <f aca="false">K31</f>
        <v>16279.7135253153</v>
      </c>
      <c r="M31" s="26" t="n">
        <f aca="false">M30+L31</f>
        <v>169529.262681471</v>
      </c>
      <c r="N31" s="24" t="n">
        <f aca="false">IF(M31&gt;=0,1,0)</f>
        <v>1</v>
      </c>
    </row>
    <row r="32" customFormat="false" ht="15" hidden="false" customHeight="false" outlineLevel="0" collapsed="false">
      <c r="A32" s="24" t="n">
        <f aca="false">A31+1</f>
        <v>27</v>
      </c>
      <c r="B32" s="25" t="n">
        <f aca="false">MIN(Premissas!$C$10,B31*(1-Premissas!$C$11)+IF(A32=1,Premissas!$C$8,Premissas!$C$9*Premissas!$B$25))</f>
        <v>27.8046922592597</v>
      </c>
      <c r="C32" s="25" t="n">
        <f aca="false">MAX(0,B32-B31*(1-Premissas!$C$11))</f>
        <v>1.5</v>
      </c>
      <c r="D32" s="26" t="n">
        <f aca="false">B32*Premissas!$C$6*Premissas!$B$26</f>
        <v>33365.6307111116</v>
      </c>
      <c r="E32" s="26" t="n">
        <f aca="false">C32*Premissas!$C$7*Premissas!$B$26</f>
        <v>12000</v>
      </c>
      <c r="F32" s="26" t="n">
        <f aca="false">D32+E32</f>
        <v>45365.6307111116</v>
      </c>
      <c r="G32" s="26" t="n">
        <f aca="false">F32*Premissas!$C$13</f>
        <v>2721.9378426667</v>
      </c>
      <c r="H32" s="26" t="n">
        <f aca="false">F32*Premissas!$C$12</f>
        <v>15877.9707488891</v>
      </c>
      <c r="I32" s="26" t="n">
        <f aca="false">F32-G32-H32</f>
        <v>26765.7221195559</v>
      </c>
      <c r="J32" s="26" t="n">
        <f aca="false">Premissas!$C$14+Premissas!$C$15</f>
        <v>10000</v>
      </c>
      <c r="K32" s="26" t="n">
        <f aca="false">I32-J32</f>
        <v>16765.7221195559</v>
      </c>
      <c r="L32" s="26" t="n">
        <f aca="false">K32</f>
        <v>16765.7221195559</v>
      </c>
      <c r="M32" s="26" t="n">
        <f aca="false">M31+L32</f>
        <v>186294.984801027</v>
      </c>
      <c r="N32" s="24" t="n">
        <f aca="false">IF(M32&gt;=0,1,0)</f>
        <v>1</v>
      </c>
    </row>
    <row r="33" customFormat="false" ht="15" hidden="false" customHeight="false" outlineLevel="0" collapsed="false">
      <c r="A33" s="24" t="n">
        <f aca="false">A32+1</f>
        <v>28</v>
      </c>
      <c r="B33" s="25" t="n">
        <f aca="false">MIN(Premissas!$C$10,B32*(1-Premissas!$C$11)+IF(A33=1,Premissas!$C$8,Premissas!$C$9*Premissas!$B$25))</f>
        <v>28.4705514914819</v>
      </c>
      <c r="C33" s="25" t="n">
        <f aca="false">MAX(0,B33-B32*(1-Premissas!$C$11))</f>
        <v>1.5</v>
      </c>
      <c r="D33" s="26" t="n">
        <f aca="false">B33*Premissas!$C$6*Premissas!$B$26</f>
        <v>34164.6617897783</v>
      </c>
      <c r="E33" s="26" t="n">
        <f aca="false">C33*Premissas!$C$7*Premissas!$B$26</f>
        <v>12000</v>
      </c>
      <c r="F33" s="26" t="n">
        <f aca="false">D33+E33</f>
        <v>46164.6617897783</v>
      </c>
      <c r="G33" s="26" t="n">
        <f aca="false">F33*Premissas!$C$13</f>
        <v>2769.8797073867</v>
      </c>
      <c r="H33" s="26" t="n">
        <f aca="false">F33*Premissas!$C$12</f>
        <v>16157.6316264224</v>
      </c>
      <c r="I33" s="26" t="n">
        <f aca="false">F33-G33-H33</f>
        <v>27237.1504559692</v>
      </c>
      <c r="J33" s="26" t="n">
        <f aca="false">Premissas!$C$14+Premissas!$C$15</f>
        <v>10000</v>
      </c>
      <c r="K33" s="26" t="n">
        <f aca="false">I33-J33</f>
        <v>17237.1504559692</v>
      </c>
      <c r="L33" s="26" t="n">
        <f aca="false">K33</f>
        <v>17237.1504559692</v>
      </c>
      <c r="M33" s="26" t="n">
        <f aca="false">M32+L33</f>
        <v>203532.135256996</v>
      </c>
      <c r="N33" s="24" t="n">
        <f aca="false">IF(M33&gt;=0,1,0)</f>
        <v>1</v>
      </c>
    </row>
    <row r="34" customFormat="false" ht="15" hidden="false" customHeight="false" outlineLevel="0" collapsed="false">
      <c r="A34" s="24" t="n">
        <f aca="false">A33+1</f>
        <v>29</v>
      </c>
      <c r="B34" s="25" t="n">
        <f aca="false">MIN(Premissas!$C$10,B33*(1-Premissas!$C$11)+IF(A34=1,Premissas!$C$8,Premissas!$C$9*Premissas!$B$25))</f>
        <v>29.1164349467374</v>
      </c>
      <c r="C34" s="25" t="n">
        <f aca="false">MAX(0,B34-B33*(1-Premissas!$C$11))</f>
        <v>1.5</v>
      </c>
      <c r="D34" s="26" t="n">
        <f aca="false">B34*Premissas!$C$6*Premissas!$B$26</f>
        <v>34939.7219360849</v>
      </c>
      <c r="E34" s="26" t="n">
        <f aca="false">C34*Premissas!$C$7*Premissas!$B$26</f>
        <v>12000</v>
      </c>
      <c r="F34" s="26" t="n">
        <f aca="false">D34+E34</f>
        <v>46939.7219360849</v>
      </c>
      <c r="G34" s="26" t="n">
        <f aca="false">F34*Premissas!$C$13</f>
        <v>2816.3833161651</v>
      </c>
      <c r="H34" s="26" t="n">
        <f aca="false">F34*Premissas!$C$12</f>
        <v>16428.9026776297</v>
      </c>
      <c r="I34" s="26" t="n">
        <f aca="false">F34-G34-H34</f>
        <v>27694.4359422901</v>
      </c>
      <c r="J34" s="26" t="n">
        <f aca="false">Premissas!$C$14+Premissas!$C$15</f>
        <v>10000</v>
      </c>
      <c r="K34" s="26" t="n">
        <f aca="false">I34-J34</f>
        <v>17694.4359422901</v>
      </c>
      <c r="L34" s="26" t="n">
        <f aca="false">K34</f>
        <v>17694.4359422901</v>
      </c>
      <c r="M34" s="26" t="n">
        <f aca="false">M33+L34</f>
        <v>221226.571199286</v>
      </c>
      <c r="N34" s="24" t="n">
        <f aca="false">IF(M34&gt;=0,1,0)</f>
        <v>1</v>
      </c>
    </row>
    <row r="35" customFormat="false" ht="15" hidden="false" customHeight="false" outlineLevel="0" collapsed="false">
      <c r="A35" s="24" t="n">
        <f aca="false">A34+1</f>
        <v>30</v>
      </c>
      <c r="B35" s="25" t="n">
        <f aca="false">MIN(Premissas!$C$10,B34*(1-Premissas!$C$11)+IF(A35=1,Premissas!$C$8,Premissas!$C$9*Premissas!$B$25))</f>
        <v>29.7429418983353</v>
      </c>
      <c r="C35" s="25" t="n">
        <f aca="false">MAX(0,B35-B34*(1-Premissas!$C$11))</f>
        <v>1.5</v>
      </c>
      <c r="D35" s="26" t="n">
        <f aca="false">B35*Premissas!$C$6*Premissas!$B$26</f>
        <v>35691.5302780024</v>
      </c>
      <c r="E35" s="26" t="n">
        <f aca="false">C35*Premissas!$C$7*Premissas!$B$26</f>
        <v>12000</v>
      </c>
      <c r="F35" s="26" t="n">
        <f aca="false">D35+E35</f>
        <v>47691.5302780024</v>
      </c>
      <c r="G35" s="26" t="n">
        <f aca="false">F35*Premissas!$C$13</f>
        <v>2861.49181668014</v>
      </c>
      <c r="H35" s="26" t="n">
        <f aca="false">F35*Premissas!$C$12</f>
        <v>16692.0355973008</v>
      </c>
      <c r="I35" s="26" t="n">
        <f aca="false">F35-G35-H35</f>
        <v>28138.0028640214</v>
      </c>
      <c r="J35" s="26" t="n">
        <f aca="false">Premissas!$C$14+Premissas!$C$15</f>
        <v>10000</v>
      </c>
      <c r="K35" s="26" t="n">
        <f aca="false">I35-J35</f>
        <v>18138.0028640214</v>
      </c>
      <c r="L35" s="26" t="n">
        <f aca="false">K35</f>
        <v>18138.0028640214</v>
      </c>
      <c r="M35" s="26" t="n">
        <f aca="false">M34+L35</f>
        <v>239364.574063308</v>
      </c>
      <c r="N35" s="24" t="n">
        <f aca="false">IF(M35&gt;=0,1,0)</f>
        <v>1</v>
      </c>
    </row>
    <row r="36" customFormat="false" ht="15" hidden="false" customHeight="false" outlineLevel="0" collapsed="false">
      <c r="A36" s="24" t="n">
        <f aca="false">A35+1</f>
        <v>31</v>
      </c>
      <c r="B36" s="25" t="n">
        <f aca="false">MIN(Premissas!$C$10,B35*(1-Premissas!$C$11)+IF(A36=1,Premissas!$C$8,Premissas!$C$9*Premissas!$B$25))</f>
        <v>30</v>
      </c>
      <c r="C36" s="25" t="n">
        <f aca="false">MAX(0,B36-B35*(1-Premissas!$C$11))</f>
        <v>1.14934635861474</v>
      </c>
      <c r="D36" s="26" t="n">
        <f aca="false">B36*Premissas!$C$6*Premissas!$B$26</f>
        <v>36000</v>
      </c>
      <c r="E36" s="26" t="n">
        <f aca="false">C36*Premissas!$C$7*Premissas!$B$26</f>
        <v>9194.77086891794</v>
      </c>
      <c r="F36" s="26" t="n">
        <f aca="false">D36+E36</f>
        <v>45194.7708689179</v>
      </c>
      <c r="G36" s="26" t="n">
        <f aca="false">F36*Premissas!$C$13</f>
        <v>2711.68625213508</v>
      </c>
      <c r="H36" s="26" t="n">
        <f aca="false">F36*Premissas!$C$12</f>
        <v>15818.1698041213</v>
      </c>
      <c r="I36" s="26" t="n">
        <f aca="false">F36-G36-H36</f>
        <v>26664.9148126616</v>
      </c>
      <c r="J36" s="26" t="n">
        <f aca="false">Premissas!$C$14+Premissas!$C$15</f>
        <v>10000</v>
      </c>
      <c r="K36" s="26" t="n">
        <f aca="false">I36-J36</f>
        <v>16664.9148126616</v>
      </c>
      <c r="L36" s="26" t="n">
        <f aca="false">K36</f>
        <v>16664.9148126616</v>
      </c>
      <c r="M36" s="26" t="n">
        <f aca="false">M35+L36</f>
        <v>256029.488875969</v>
      </c>
      <c r="N36" s="24" t="n">
        <f aca="false">IF(M36&gt;=0,1,0)</f>
        <v>1</v>
      </c>
    </row>
    <row r="37" customFormat="false" ht="15" hidden="false" customHeight="false" outlineLevel="0" collapsed="false">
      <c r="A37" s="24" t="n">
        <f aca="false">A36+1</f>
        <v>32</v>
      </c>
      <c r="B37" s="25" t="n">
        <f aca="false">MIN(Premissas!$C$10,B36*(1-Premissas!$C$11)+IF(A37=1,Premissas!$C$8,Premissas!$C$9*Premissas!$B$25))</f>
        <v>30</v>
      </c>
      <c r="C37" s="25" t="n">
        <f aca="false">MAX(0,B37-B36*(1-Premissas!$C$11))</f>
        <v>0.900000000000002</v>
      </c>
      <c r="D37" s="26" t="n">
        <f aca="false">B37*Premissas!$C$6*Premissas!$B$26</f>
        <v>36000</v>
      </c>
      <c r="E37" s="26" t="n">
        <f aca="false">C37*Premissas!$C$7*Premissas!$B$26</f>
        <v>7200.00000000002</v>
      </c>
      <c r="F37" s="26" t="n">
        <f aca="false">D37+E37</f>
        <v>43200</v>
      </c>
      <c r="G37" s="26" t="n">
        <f aca="false">F37*Premissas!$C$13</f>
        <v>2592</v>
      </c>
      <c r="H37" s="26" t="n">
        <f aca="false">F37*Premissas!$C$12</f>
        <v>15120</v>
      </c>
      <c r="I37" s="26" t="n">
        <f aca="false">F37-G37-H37</f>
        <v>25488</v>
      </c>
      <c r="J37" s="26" t="n">
        <f aca="false">Premissas!$C$14+Premissas!$C$15</f>
        <v>10000</v>
      </c>
      <c r="K37" s="26" t="n">
        <f aca="false">I37-J37</f>
        <v>15488</v>
      </c>
      <c r="L37" s="26" t="n">
        <f aca="false">K37</f>
        <v>15488</v>
      </c>
      <c r="M37" s="26" t="n">
        <f aca="false">M36+L37</f>
        <v>271517.488875969</v>
      </c>
      <c r="N37" s="24" t="n">
        <f aca="false">IF(M37&gt;=0,1,0)</f>
        <v>1</v>
      </c>
    </row>
    <row r="38" customFormat="false" ht="15" hidden="false" customHeight="false" outlineLevel="0" collapsed="false">
      <c r="A38" s="24" t="n">
        <f aca="false">A37+1</f>
        <v>33</v>
      </c>
      <c r="B38" s="25" t="n">
        <f aca="false">MIN(Premissas!$C$10,B37*(1-Premissas!$C$11)+IF(A38=1,Premissas!$C$8,Premissas!$C$9*Premissas!$B$25))</f>
        <v>30</v>
      </c>
      <c r="C38" s="25" t="n">
        <f aca="false">MAX(0,B38-B37*(1-Premissas!$C$11))</f>
        <v>0.900000000000002</v>
      </c>
      <c r="D38" s="26" t="n">
        <f aca="false">B38*Premissas!$C$6*Premissas!$B$26</f>
        <v>36000</v>
      </c>
      <c r="E38" s="26" t="n">
        <f aca="false">C38*Premissas!$C$7*Premissas!$B$26</f>
        <v>7200.00000000002</v>
      </c>
      <c r="F38" s="26" t="n">
        <f aca="false">D38+E38</f>
        <v>43200</v>
      </c>
      <c r="G38" s="26" t="n">
        <f aca="false">F38*Premissas!$C$13</f>
        <v>2592</v>
      </c>
      <c r="H38" s="26" t="n">
        <f aca="false">F38*Premissas!$C$12</f>
        <v>15120</v>
      </c>
      <c r="I38" s="26" t="n">
        <f aca="false">F38-G38-H38</f>
        <v>25488</v>
      </c>
      <c r="J38" s="26" t="n">
        <f aca="false">Premissas!$C$14+Premissas!$C$15</f>
        <v>10000</v>
      </c>
      <c r="K38" s="26" t="n">
        <f aca="false">I38-J38</f>
        <v>15488</v>
      </c>
      <c r="L38" s="26" t="n">
        <f aca="false">K38</f>
        <v>15488</v>
      </c>
      <c r="M38" s="26" t="n">
        <f aca="false">M37+L38</f>
        <v>287005.488875969</v>
      </c>
      <c r="N38" s="24" t="n">
        <f aca="false">IF(M38&gt;=0,1,0)</f>
        <v>1</v>
      </c>
    </row>
    <row r="39" customFormat="false" ht="15" hidden="false" customHeight="false" outlineLevel="0" collapsed="false">
      <c r="A39" s="24" t="n">
        <f aca="false">A38+1</f>
        <v>34</v>
      </c>
      <c r="B39" s="25" t="n">
        <f aca="false">MIN(Premissas!$C$10,B38*(1-Premissas!$C$11)+IF(A39=1,Premissas!$C$8,Premissas!$C$9*Premissas!$B$25))</f>
        <v>30</v>
      </c>
      <c r="C39" s="25" t="n">
        <f aca="false">MAX(0,B39-B38*(1-Premissas!$C$11))</f>
        <v>0.900000000000002</v>
      </c>
      <c r="D39" s="26" t="n">
        <f aca="false">B39*Premissas!$C$6*Premissas!$B$26</f>
        <v>36000</v>
      </c>
      <c r="E39" s="26" t="n">
        <f aca="false">C39*Premissas!$C$7*Premissas!$B$26</f>
        <v>7200.00000000002</v>
      </c>
      <c r="F39" s="26" t="n">
        <f aca="false">D39+E39</f>
        <v>43200</v>
      </c>
      <c r="G39" s="26" t="n">
        <f aca="false">F39*Premissas!$C$13</f>
        <v>2592</v>
      </c>
      <c r="H39" s="26" t="n">
        <f aca="false">F39*Premissas!$C$12</f>
        <v>15120</v>
      </c>
      <c r="I39" s="26" t="n">
        <f aca="false">F39-G39-H39</f>
        <v>25488</v>
      </c>
      <c r="J39" s="26" t="n">
        <f aca="false">Premissas!$C$14+Premissas!$C$15</f>
        <v>10000</v>
      </c>
      <c r="K39" s="26" t="n">
        <f aca="false">I39-J39</f>
        <v>15488</v>
      </c>
      <c r="L39" s="26" t="n">
        <f aca="false">K39</f>
        <v>15488</v>
      </c>
      <c r="M39" s="26" t="n">
        <f aca="false">M38+L39</f>
        <v>302493.488875969</v>
      </c>
      <c r="N39" s="24" t="n">
        <f aca="false">IF(M39&gt;=0,1,0)</f>
        <v>1</v>
      </c>
    </row>
    <row r="40" customFormat="false" ht="15" hidden="false" customHeight="false" outlineLevel="0" collapsed="false">
      <c r="A40" s="24" t="n">
        <f aca="false">A39+1</f>
        <v>35</v>
      </c>
      <c r="B40" s="25" t="n">
        <f aca="false">MIN(Premissas!$C$10,B39*(1-Premissas!$C$11)+IF(A40=1,Premissas!$C$8,Premissas!$C$9*Premissas!$B$25))</f>
        <v>30</v>
      </c>
      <c r="C40" s="25" t="n">
        <f aca="false">MAX(0,B40-B39*(1-Premissas!$C$11))</f>
        <v>0.900000000000002</v>
      </c>
      <c r="D40" s="26" t="n">
        <f aca="false">B40*Premissas!$C$6*Premissas!$B$26</f>
        <v>36000</v>
      </c>
      <c r="E40" s="26" t="n">
        <f aca="false">C40*Premissas!$C$7*Premissas!$B$26</f>
        <v>7200.00000000002</v>
      </c>
      <c r="F40" s="26" t="n">
        <f aca="false">D40+E40</f>
        <v>43200</v>
      </c>
      <c r="G40" s="26" t="n">
        <f aca="false">F40*Premissas!$C$13</f>
        <v>2592</v>
      </c>
      <c r="H40" s="26" t="n">
        <f aca="false">F40*Premissas!$C$12</f>
        <v>15120</v>
      </c>
      <c r="I40" s="26" t="n">
        <f aca="false">F40-G40-H40</f>
        <v>25488</v>
      </c>
      <c r="J40" s="26" t="n">
        <f aca="false">Premissas!$C$14+Premissas!$C$15</f>
        <v>10000</v>
      </c>
      <c r="K40" s="26" t="n">
        <f aca="false">I40-J40</f>
        <v>15488</v>
      </c>
      <c r="L40" s="26" t="n">
        <f aca="false">K40</f>
        <v>15488</v>
      </c>
      <c r="M40" s="26" t="n">
        <f aca="false">M39+L40</f>
        <v>317981.488875969</v>
      </c>
      <c r="N40" s="24" t="n">
        <f aca="false">IF(M40&gt;=0,1,0)</f>
        <v>1</v>
      </c>
    </row>
    <row r="41" customFormat="false" ht="15" hidden="false" customHeight="false" outlineLevel="0" collapsed="false">
      <c r="A41" s="28" t="n">
        <f aca="false">A40+1</f>
        <v>36</v>
      </c>
      <c r="B41" s="29" t="n">
        <f aca="false">MIN(Premissas!$C$10,B40*(1-Premissas!$C$11)+IF(A41=1,Premissas!$C$8,Premissas!$C$9*Premissas!$B$25))</f>
        <v>30</v>
      </c>
      <c r="C41" s="29" t="n">
        <f aca="false">MAX(0,B41-B40*(1-Premissas!$C$11))</f>
        <v>0.900000000000002</v>
      </c>
      <c r="D41" s="30" t="n">
        <f aca="false">B41*Premissas!$C$6*Premissas!$B$26</f>
        <v>36000</v>
      </c>
      <c r="E41" s="30" t="n">
        <f aca="false">C41*Premissas!$C$7*Premissas!$B$26</f>
        <v>7200.00000000002</v>
      </c>
      <c r="F41" s="30" t="n">
        <f aca="false">D41+E41</f>
        <v>43200</v>
      </c>
      <c r="G41" s="30" t="n">
        <f aca="false">F41*Premissas!$C$13</f>
        <v>2592</v>
      </c>
      <c r="H41" s="30" t="n">
        <f aca="false">F41*Premissas!$C$12</f>
        <v>15120</v>
      </c>
      <c r="I41" s="30" t="n">
        <f aca="false">F41-G41-H41</f>
        <v>25488</v>
      </c>
      <c r="J41" s="30" t="n">
        <f aca="false">Premissas!$C$14+Premissas!$C$15</f>
        <v>10000</v>
      </c>
      <c r="K41" s="30" t="n">
        <f aca="false">I41-J41</f>
        <v>15488</v>
      </c>
      <c r="L41" s="30" t="n">
        <f aca="false">K41</f>
        <v>15488</v>
      </c>
      <c r="M41" s="30" t="n">
        <f aca="false">M40+L41</f>
        <v>333469.488875969</v>
      </c>
      <c r="N41" s="28" t="n">
        <f aca="false">IF(M41&gt;=0,1,0)</f>
        <v>1</v>
      </c>
    </row>
    <row r="43" customFormat="false" ht="15" hidden="false" customHeight="false" outlineLevel="0" collapsed="false">
      <c r="A43" s="12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6" min="4" style="0" width="16"/>
    <col collapsed="false" customWidth="true" hidden="false" outlineLevel="0" max="7" min="7" style="0" width="14"/>
    <col collapsed="false" customWidth="true" hidden="false" outlineLevel="0" max="13" min="8" style="0" width="16"/>
    <col collapsed="false" customWidth="true" hidden="false" outlineLevel="0" max="14" min="14" style="0" width="12"/>
  </cols>
  <sheetData>
    <row r="1" customFormat="false" ht="17.3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0" t="s">
        <v>25</v>
      </c>
      <c r="B2" s="5" t="str">
        <f aca="false">Premissas!$B$18</f>
        <v>Base</v>
      </c>
    </row>
    <row r="4" customFormat="false" ht="45" hidden="false" customHeight="true" outlineLevel="0" collapsed="false">
      <c r="A4" s="6" t="s">
        <v>102</v>
      </c>
      <c r="B4" s="6" t="s">
        <v>103</v>
      </c>
      <c r="C4" s="6" t="s">
        <v>104</v>
      </c>
      <c r="D4" s="6" t="s">
        <v>105</v>
      </c>
      <c r="E4" s="6" t="s">
        <v>106</v>
      </c>
      <c r="F4" s="6" t="s">
        <v>107</v>
      </c>
      <c r="G4" s="6" t="s">
        <v>108</v>
      </c>
      <c r="H4" s="6" t="s">
        <v>109</v>
      </c>
      <c r="I4" s="6" t="s">
        <v>110</v>
      </c>
      <c r="J4" s="6" t="s">
        <v>111</v>
      </c>
      <c r="K4" s="6" t="s">
        <v>112</v>
      </c>
      <c r="L4" s="6" t="s">
        <v>113</v>
      </c>
      <c r="M4" s="6" t="s">
        <v>114</v>
      </c>
      <c r="N4" s="6" t="s">
        <v>115</v>
      </c>
    </row>
    <row r="5" customFormat="false" ht="15" hidden="false" customHeight="false" outlineLevel="0" collapsed="false">
      <c r="A5" s="24" t="n">
        <v>0</v>
      </c>
      <c r="B5" s="25" t="n">
        <v>0</v>
      </c>
      <c r="C5" s="25" t="n">
        <v>0</v>
      </c>
      <c r="D5" s="26" t="n">
        <v>0</v>
      </c>
      <c r="E5" s="26" t="n">
        <v>0</v>
      </c>
      <c r="F5" s="26" t="n">
        <v>0</v>
      </c>
      <c r="G5" s="26" t="n">
        <v>0</v>
      </c>
      <c r="H5" s="26" t="n">
        <v>0</v>
      </c>
      <c r="I5" s="26" t="n">
        <v>0</v>
      </c>
      <c r="J5" s="26" t="n">
        <v>0</v>
      </c>
      <c r="K5" s="26" t="n">
        <v>0</v>
      </c>
      <c r="L5" s="27" t="n">
        <f aca="false">-Premissas!$D$5</f>
        <v>-50000</v>
      </c>
      <c r="M5" s="26" t="n">
        <f aca="false">L5</f>
        <v>-50000</v>
      </c>
      <c r="N5" s="24" t="n">
        <f aca="false">IF(M5&gt;=0,1,0)</f>
        <v>0</v>
      </c>
    </row>
    <row r="6" customFormat="false" ht="15" hidden="false" customHeight="false" outlineLevel="0" collapsed="false">
      <c r="A6" s="24" t="n">
        <f aca="false">A5+1</f>
        <v>1</v>
      </c>
      <c r="B6" s="25" t="n">
        <f aca="false">MIN(Premissas!$D$10,B5*(1-Premissas!$D$11)+IF(A6=1,Premissas!$D$8,Premissas!$D$9*Premissas!$B$25))</f>
        <v>2</v>
      </c>
      <c r="C6" s="25" t="n">
        <f aca="false">MAX(0,B6-B5*(1-Premissas!$D$11))</f>
        <v>2</v>
      </c>
      <c r="D6" s="26" t="n">
        <f aca="false">B6*Premissas!$D$6*Premissas!$B$26</f>
        <v>11000</v>
      </c>
      <c r="E6" s="26" t="n">
        <f aca="false">C6*Premissas!$D$7*Premissas!$B$26</f>
        <v>0</v>
      </c>
      <c r="F6" s="26" t="n">
        <f aca="false">D6+E6</f>
        <v>11000</v>
      </c>
      <c r="G6" s="26" t="n">
        <f aca="false">F6*Premissas!$D$13</f>
        <v>1210</v>
      </c>
      <c r="H6" s="26" t="n">
        <f aca="false">F6*Premissas!$D$12</f>
        <v>8580</v>
      </c>
      <c r="I6" s="26" t="n">
        <f aca="false">F6-G6-H6</f>
        <v>1210</v>
      </c>
      <c r="J6" s="26" t="n">
        <f aca="false">Premissas!$D$14+Premissas!$D$15</f>
        <v>11000</v>
      </c>
      <c r="K6" s="26" t="n">
        <f aca="false">I6-J6</f>
        <v>-9790</v>
      </c>
      <c r="L6" s="26" t="n">
        <f aca="false">K6</f>
        <v>-9790</v>
      </c>
      <c r="M6" s="26" t="n">
        <f aca="false">M5+L6</f>
        <v>-59790</v>
      </c>
      <c r="N6" s="24" t="n">
        <f aca="false">IF(M6&gt;=0,1,0)</f>
        <v>0</v>
      </c>
    </row>
    <row r="7" customFormat="false" ht="15" hidden="false" customHeight="false" outlineLevel="0" collapsed="false">
      <c r="A7" s="24" t="n">
        <f aca="false">A6+1</f>
        <v>2</v>
      </c>
      <c r="B7" s="25" t="n">
        <f aca="false">MIN(Premissas!$D$10,B6*(1-Premissas!$D$11)+IF(A7=1,Premissas!$D$8,Premissas!$D$9*Premissas!$B$25))</f>
        <v>3.4</v>
      </c>
      <c r="C7" s="25" t="n">
        <f aca="false">MAX(0,B7-B6*(1-Premissas!$D$11))</f>
        <v>1.5</v>
      </c>
      <c r="D7" s="26" t="n">
        <f aca="false">B7*Premissas!$D$6*Premissas!$B$26</f>
        <v>18700</v>
      </c>
      <c r="E7" s="26" t="n">
        <f aca="false">C7*Premissas!$D$7*Premissas!$B$26</f>
        <v>0</v>
      </c>
      <c r="F7" s="26" t="n">
        <f aca="false">D7+E7</f>
        <v>18700</v>
      </c>
      <c r="G7" s="26" t="n">
        <f aca="false">F7*Premissas!$D$13</f>
        <v>2057</v>
      </c>
      <c r="H7" s="26" t="n">
        <f aca="false">F7*Premissas!$D$12</f>
        <v>14586</v>
      </c>
      <c r="I7" s="26" t="n">
        <f aca="false">F7-G7-H7</f>
        <v>2057</v>
      </c>
      <c r="J7" s="26" t="n">
        <f aca="false">Premissas!$D$14+Premissas!$D$15</f>
        <v>11000</v>
      </c>
      <c r="K7" s="26" t="n">
        <f aca="false">I7-J7</f>
        <v>-8943</v>
      </c>
      <c r="L7" s="26" t="n">
        <f aca="false">K7</f>
        <v>-8943</v>
      </c>
      <c r="M7" s="26" t="n">
        <f aca="false">M6+L7</f>
        <v>-68733</v>
      </c>
      <c r="N7" s="24" t="n">
        <f aca="false">IF(M7&gt;=0,1,0)</f>
        <v>0</v>
      </c>
    </row>
    <row r="8" customFormat="false" ht="15" hidden="false" customHeight="false" outlineLevel="0" collapsed="false">
      <c r="A8" s="24" t="n">
        <f aca="false">A7+1</f>
        <v>3</v>
      </c>
      <c r="B8" s="25" t="n">
        <f aca="false">MIN(Premissas!$D$10,B7*(1-Premissas!$D$11)+IF(A8=1,Premissas!$D$8,Premissas!$D$9*Premissas!$B$25))</f>
        <v>4.73</v>
      </c>
      <c r="C8" s="25" t="n">
        <f aca="false">MAX(0,B8-B7*(1-Premissas!$D$11))</f>
        <v>1.5</v>
      </c>
      <c r="D8" s="26" t="n">
        <f aca="false">B8*Premissas!$D$6*Premissas!$B$26</f>
        <v>26015</v>
      </c>
      <c r="E8" s="26" t="n">
        <f aca="false">C8*Premissas!$D$7*Premissas!$B$26</f>
        <v>0</v>
      </c>
      <c r="F8" s="26" t="n">
        <f aca="false">D8+E8</f>
        <v>26015</v>
      </c>
      <c r="G8" s="26" t="n">
        <f aca="false">F8*Premissas!$D$13</f>
        <v>2861.65</v>
      </c>
      <c r="H8" s="26" t="n">
        <f aca="false">F8*Premissas!$D$12</f>
        <v>20291.7</v>
      </c>
      <c r="I8" s="26" t="n">
        <f aca="false">F8-G8-H8</f>
        <v>2861.65</v>
      </c>
      <c r="J8" s="26" t="n">
        <f aca="false">Premissas!$D$14+Premissas!$D$15</f>
        <v>11000</v>
      </c>
      <c r="K8" s="26" t="n">
        <f aca="false">I8-J8</f>
        <v>-8138.35</v>
      </c>
      <c r="L8" s="26" t="n">
        <f aca="false">K8</f>
        <v>-8138.35</v>
      </c>
      <c r="M8" s="26" t="n">
        <f aca="false">M7+L8</f>
        <v>-76871.35</v>
      </c>
      <c r="N8" s="24" t="n">
        <f aca="false">IF(M8&gt;=0,1,0)</f>
        <v>0</v>
      </c>
    </row>
    <row r="9" customFormat="false" ht="15" hidden="false" customHeight="false" outlineLevel="0" collapsed="false">
      <c r="A9" s="24" t="n">
        <f aca="false">A8+1</f>
        <v>4</v>
      </c>
      <c r="B9" s="25" t="n">
        <f aca="false">MIN(Premissas!$D$10,B8*(1-Premissas!$D$11)+IF(A9=1,Premissas!$D$8,Premissas!$D$9*Premissas!$B$25))</f>
        <v>5.9935</v>
      </c>
      <c r="C9" s="25" t="n">
        <f aca="false">MAX(0,B9-B8*(1-Premissas!$D$11))</f>
        <v>1.5</v>
      </c>
      <c r="D9" s="26" t="n">
        <f aca="false">B9*Premissas!$D$6*Premissas!$B$26</f>
        <v>32964.25</v>
      </c>
      <c r="E9" s="26" t="n">
        <f aca="false">C9*Premissas!$D$7*Premissas!$B$26</f>
        <v>0</v>
      </c>
      <c r="F9" s="26" t="n">
        <f aca="false">D9+E9</f>
        <v>32964.25</v>
      </c>
      <c r="G9" s="26" t="n">
        <f aca="false">F9*Premissas!$D$13</f>
        <v>3626.0675</v>
      </c>
      <c r="H9" s="26" t="n">
        <f aca="false">F9*Premissas!$D$12</f>
        <v>25712.115</v>
      </c>
      <c r="I9" s="26" t="n">
        <f aca="false">F9-G9-H9</f>
        <v>3626.0675</v>
      </c>
      <c r="J9" s="26" t="n">
        <f aca="false">Premissas!$D$14+Premissas!$D$15</f>
        <v>11000</v>
      </c>
      <c r="K9" s="26" t="n">
        <f aca="false">I9-J9</f>
        <v>-7373.9325</v>
      </c>
      <c r="L9" s="26" t="n">
        <f aca="false">K9</f>
        <v>-7373.9325</v>
      </c>
      <c r="M9" s="26" t="n">
        <f aca="false">M8+L9</f>
        <v>-84245.2825</v>
      </c>
      <c r="N9" s="24" t="n">
        <f aca="false">IF(M9&gt;=0,1,0)</f>
        <v>0</v>
      </c>
    </row>
    <row r="10" customFormat="false" ht="15" hidden="false" customHeight="false" outlineLevel="0" collapsed="false">
      <c r="A10" s="24" t="n">
        <f aca="false">A9+1</f>
        <v>5</v>
      </c>
      <c r="B10" s="25" t="n">
        <f aca="false">MIN(Premissas!$D$10,B9*(1-Premissas!$D$11)+IF(A10=1,Premissas!$D$8,Premissas!$D$9*Premissas!$B$25))</f>
        <v>7.193825</v>
      </c>
      <c r="C10" s="25" t="n">
        <f aca="false">MAX(0,B10-B9*(1-Premissas!$D$11))</f>
        <v>1.5</v>
      </c>
      <c r="D10" s="26" t="n">
        <f aca="false">B10*Premissas!$D$6*Premissas!$B$26</f>
        <v>39566.0375</v>
      </c>
      <c r="E10" s="26" t="n">
        <f aca="false">C10*Premissas!$D$7*Premissas!$B$26</f>
        <v>0</v>
      </c>
      <c r="F10" s="26" t="n">
        <f aca="false">D10+E10</f>
        <v>39566.0375</v>
      </c>
      <c r="G10" s="26" t="n">
        <f aca="false">F10*Premissas!$D$13</f>
        <v>4352.264125</v>
      </c>
      <c r="H10" s="26" t="n">
        <f aca="false">F10*Premissas!$D$12</f>
        <v>30861.50925</v>
      </c>
      <c r="I10" s="26" t="n">
        <f aca="false">F10-G10-H10</f>
        <v>4352.264125</v>
      </c>
      <c r="J10" s="26" t="n">
        <f aca="false">Premissas!$D$14+Premissas!$D$15</f>
        <v>11000</v>
      </c>
      <c r="K10" s="26" t="n">
        <f aca="false">I10-J10</f>
        <v>-6647.735875</v>
      </c>
      <c r="L10" s="26" t="n">
        <f aca="false">K10</f>
        <v>-6647.735875</v>
      </c>
      <c r="M10" s="26" t="n">
        <f aca="false">M9+L10</f>
        <v>-90893.018375</v>
      </c>
      <c r="N10" s="24" t="n">
        <f aca="false">IF(M10&gt;=0,1,0)</f>
        <v>0</v>
      </c>
    </row>
    <row r="11" customFormat="false" ht="15" hidden="false" customHeight="false" outlineLevel="0" collapsed="false">
      <c r="A11" s="24" t="n">
        <f aca="false">A10+1</f>
        <v>6</v>
      </c>
      <c r="B11" s="25" t="n">
        <f aca="false">MIN(Premissas!$D$10,B10*(1-Premissas!$D$11)+IF(A11=1,Premissas!$D$8,Premissas!$D$9*Premissas!$B$25))</f>
        <v>8.33413375</v>
      </c>
      <c r="C11" s="25" t="n">
        <f aca="false">MAX(0,B11-B10*(1-Premissas!$D$11))</f>
        <v>1.5</v>
      </c>
      <c r="D11" s="26" t="n">
        <f aca="false">B11*Premissas!$D$6*Premissas!$B$26</f>
        <v>45837.735625</v>
      </c>
      <c r="E11" s="26" t="n">
        <f aca="false">C11*Premissas!$D$7*Premissas!$B$26</f>
        <v>0</v>
      </c>
      <c r="F11" s="26" t="n">
        <f aca="false">D11+E11</f>
        <v>45837.735625</v>
      </c>
      <c r="G11" s="26" t="n">
        <f aca="false">F11*Premissas!$D$13</f>
        <v>5042.15091875</v>
      </c>
      <c r="H11" s="26" t="n">
        <f aca="false">F11*Premissas!$D$12</f>
        <v>35753.4337875</v>
      </c>
      <c r="I11" s="26" t="n">
        <f aca="false">F11-G11-H11</f>
        <v>5042.15091875</v>
      </c>
      <c r="J11" s="26" t="n">
        <f aca="false">Premissas!$D$14+Premissas!$D$15</f>
        <v>11000</v>
      </c>
      <c r="K11" s="26" t="n">
        <f aca="false">I11-J11</f>
        <v>-5957.84908125</v>
      </c>
      <c r="L11" s="26" t="n">
        <f aca="false">K11</f>
        <v>-5957.84908125</v>
      </c>
      <c r="M11" s="26" t="n">
        <f aca="false">M10+L11</f>
        <v>-96850.86745625</v>
      </c>
      <c r="N11" s="24" t="n">
        <f aca="false">IF(M11&gt;=0,1,0)</f>
        <v>0</v>
      </c>
    </row>
    <row r="12" customFormat="false" ht="15" hidden="false" customHeight="false" outlineLevel="0" collapsed="false">
      <c r="A12" s="24" t="n">
        <f aca="false">A11+1</f>
        <v>7</v>
      </c>
      <c r="B12" s="25" t="n">
        <f aca="false">MIN(Premissas!$D$10,B11*(1-Premissas!$D$11)+IF(A12=1,Premissas!$D$8,Premissas!$D$9*Premissas!$B$25))</f>
        <v>9.4174270625</v>
      </c>
      <c r="C12" s="25" t="n">
        <f aca="false">MAX(0,B12-B11*(1-Premissas!$D$11))</f>
        <v>1.5</v>
      </c>
      <c r="D12" s="26" t="n">
        <f aca="false">B12*Premissas!$D$6*Premissas!$B$26</f>
        <v>51795.84884375</v>
      </c>
      <c r="E12" s="26" t="n">
        <f aca="false">C12*Premissas!$D$7*Premissas!$B$26</f>
        <v>0</v>
      </c>
      <c r="F12" s="26" t="n">
        <f aca="false">D12+E12</f>
        <v>51795.84884375</v>
      </c>
      <c r="G12" s="26" t="n">
        <f aca="false">F12*Premissas!$D$13</f>
        <v>5697.5433728125</v>
      </c>
      <c r="H12" s="26" t="n">
        <f aca="false">F12*Premissas!$D$12</f>
        <v>40400.762098125</v>
      </c>
      <c r="I12" s="26" t="n">
        <f aca="false">F12-G12-H12</f>
        <v>5697.5433728125</v>
      </c>
      <c r="J12" s="26" t="n">
        <f aca="false">Premissas!$D$14+Premissas!$D$15</f>
        <v>11000</v>
      </c>
      <c r="K12" s="26" t="n">
        <f aca="false">I12-J12</f>
        <v>-5302.4566271875</v>
      </c>
      <c r="L12" s="26" t="n">
        <f aca="false">K12</f>
        <v>-5302.4566271875</v>
      </c>
      <c r="M12" s="26" t="n">
        <f aca="false">M11+L12</f>
        <v>-102153.324083438</v>
      </c>
      <c r="N12" s="24" t="n">
        <f aca="false">IF(M12&gt;=0,1,0)</f>
        <v>0</v>
      </c>
    </row>
    <row r="13" customFormat="false" ht="15" hidden="false" customHeight="false" outlineLevel="0" collapsed="false">
      <c r="A13" s="24" t="n">
        <f aca="false">A12+1</f>
        <v>8</v>
      </c>
      <c r="B13" s="25" t="n">
        <f aca="false">MIN(Premissas!$D$10,B12*(1-Premissas!$D$11)+IF(A13=1,Premissas!$D$8,Premissas!$D$9*Premissas!$B$25))</f>
        <v>10.446555709375</v>
      </c>
      <c r="C13" s="25" t="n">
        <f aca="false">MAX(0,B13-B12*(1-Premissas!$D$11))</f>
        <v>1.5</v>
      </c>
      <c r="D13" s="26" t="n">
        <f aca="false">B13*Premissas!$D$6*Premissas!$B$26</f>
        <v>57456.0564015625</v>
      </c>
      <c r="E13" s="26" t="n">
        <f aca="false">C13*Premissas!$D$7*Premissas!$B$26</f>
        <v>0</v>
      </c>
      <c r="F13" s="26" t="n">
        <f aca="false">D13+E13</f>
        <v>57456.0564015625</v>
      </c>
      <c r="G13" s="26" t="n">
        <f aca="false">F13*Premissas!$D$13</f>
        <v>6320.16620417188</v>
      </c>
      <c r="H13" s="26" t="n">
        <f aca="false">F13*Premissas!$D$12</f>
        <v>44815.7239932188</v>
      </c>
      <c r="I13" s="26" t="n">
        <f aca="false">F13-G13-H13</f>
        <v>6320.16620417187</v>
      </c>
      <c r="J13" s="26" t="n">
        <f aca="false">Premissas!$D$14+Premissas!$D$15</f>
        <v>11000</v>
      </c>
      <c r="K13" s="26" t="n">
        <f aca="false">I13-J13</f>
        <v>-4679.83379582813</v>
      </c>
      <c r="L13" s="26" t="n">
        <f aca="false">K13</f>
        <v>-4679.83379582813</v>
      </c>
      <c r="M13" s="26" t="n">
        <f aca="false">M12+L13</f>
        <v>-106833.157879266</v>
      </c>
      <c r="N13" s="24" t="n">
        <f aca="false">IF(M13&gt;=0,1,0)</f>
        <v>0</v>
      </c>
    </row>
    <row r="14" customFormat="false" ht="15" hidden="false" customHeight="false" outlineLevel="0" collapsed="false">
      <c r="A14" s="24" t="n">
        <f aca="false">A13+1</f>
        <v>9</v>
      </c>
      <c r="B14" s="25" t="n">
        <f aca="false">MIN(Premissas!$D$10,B13*(1-Premissas!$D$11)+IF(A14=1,Premissas!$D$8,Premissas!$D$9*Premissas!$B$25))</f>
        <v>11.4242279239063</v>
      </c>
      <c r="C14" s="25" t="n">
        <f aca="false">MAX(0,B14-B13*(1-Premissas!$D$11))</f>
        <v>1.5</v>
      </c>
      <c r="D14" s="26" t="n">
        <f aca="false">B14*Premissas!$D$6*Premissas!$B$26</f>
        <v>62833.2535814844</v>
      </c>
      <c r="E14" s="26" t="n">
        <f aca="false">C14*Premissas!$D$7*Premissas!$B$26</f>
        <v>0</v>
      </c>
      <c r="F14" s="26" t="n">
        <f aca="false">D14+E14</f>
        <v>62833.2535814844</v>
      </c>
      <c r="G14" s="26" t="n">
        <f aca="false">F14*Premissas!$D$13</f>
        <v>6911.65789396328</v>
      </c>
      <c r="H14" s="26" t="n">
        <f aca="false">F14*Premissas!$D$12</f>
        <v>49009.9377935578</v>
      </c>
      <c r="I14" s="26" t="n">
        <f aca="false">F14-G14-H14</f>
        <v>6911.65789396328</v>
      </c>
      <c r="J14" s="26" t="n">
        <f aca="false">Premissas!$D$14+Premissas!$D$15</f>
        <v>11000</v>
      </c>
      <c r="K14" s="26" t="n">
        <f aca="false">I14-J14</f>
        <v>-4088.34210603672</v>
      </c>
      <c r="L14" s="26" t="n">
        <f aca="false">K14</f>
        <v>-4088.34210603672</v>
      </c>
      <c r="M14" s="26" t="n">
        <f aca="false">M13+L14</f>
        <v>-110921.499985302</v>
      </c>
      <c r="N14" s="24" t="n">
        <f aca="false">IF(M14&gt;=0,1,0)</f>
        <v>0</v>
      </c>
    </row>
    <row r="15" customFormat="false" ht="15" hidden="false" customHeight="false" outlineLevel="0" collapsed="false">
      <c r="A15" s="24" t="n">
        <f aca="false">A14+1</f>
        <v>10</v>
      </c>
      <c r="B15" s="25" t="n">
        <f aca="false">MIN(Premissas!$D$10,B14*(1-Premissas!$D$11)+IF(A15=1,Premissas!$D$8,Premissas!$D$9*Premissas!$B$25))</f>
        <v>12.3530165277109</v>
      </c>
      <c r="C15" s="25" t="n">
        <f aca="false">MAX(0,B15-B14*(1-Premissas!$D$11))</f>
        <v>1.5</v>
      </c>
      <c r="D15" s="26" t="n">
        <f aca="false">B15*Premissas!$D$6*Premissas!$B$26</f>
        <v>67941.5909024102</v>
      </c>
      <c r="E15" s="26" t="n">
        <f aca="false">C15*Premissas!$D$7*Premissas!$B$26</f>
        <v>0</v>
      </c>
      <c r="F15" s="26" t="n">
        <f aca="false">D15+E15</f>
        <v>67941.5909024102</v>
      </c>
      <c r="G15" s="26" t="n">
        <f aca="false">F15*Premissas!$D$13</f>
        <v>7473.57499926512</v>
      </c>
      <c r="H15" s="26" t="n">
        <f aca="false">F15*Premissas!$D$12</f>
        <v>52994.4409038799</v>
      </c>
      <c r="I15" s="26" t="n">
        <f aca="false">F15-G15-H15</f>
        <v>7473.57499926512</v>
      </c>
      <c r="J15" s="26" t="n">
        <f aca="false">Premissas!$D$14+Premissas!$D$15</f>
        <v>11000</v>
      </c>
      <c r="K15" s="26" t="n">
        <f aca="false">I15-J15</f>
        <v>-3526.42500073488</v>
      </c>
      <c r="L15" s="26" t="n">
        <f aca="false">K15</f>
        <v>-3526.42500073488</v>
      </c>
      <c r="M15" s="26" t="n">
        <f aca="false">M14+L15</f>
        <v>-114447.924986037</v>
      </c>
      <c r="N15" s="24" t="n">
        <f aca="false">IF(M15&gt;=0,1,0)</f>
        <v>0</v>
      </c>
    </row>
    <row r="16" customFormat="false" ht="15" hidden="false" customHeight="false" outlineLevel="0" collapsed="false">
      <c r="A16" s="24" t="n">
        <f aca="false">A15+1</f>
        <v>11</v>
      </c>
      <c r="B16" s="25" t="n">
        <f aca="false">MIN(Premissas!$D$10,B15*(1-Premissas!$D$11)+IF(A16=1,Premissas!$D$8,Premissas!$D$9*Premissas!$B$25))</f>
        <v>13.2353657013254</v>
      </c>
      <c r="C16" s="25" t="n">
        <f aca="false">MAX(0,B16-B15*(1-Premissas!$D$11))</f>
        <v>1.5</v>
      </c>
      <c r="D16" s="26" t="n">
        <f aca="false">B16*Premissas!$D$6*Premissas!$B$26</f>
        <v>72794.5113572896</v>
      </c>
      <c r="E16" s="26" t="n">
        <f aca="false">C16*Premissas!$D$7*Premissas!$B$26</f>
        <v>0</v>
      </c>
      <c r="F16" s="26" t="n">
        <f aca="false">D16+E16</f>
        <v>72794.5113572896</v>
      </c>
      <c r="G16" s="26" t="n">
        <f aca="false">F16*Premissas!$D$13</f>
        <v>8007.39624930186</v>
      </c>
      <c r="H16" s="26" t="n">
        <f aca="false">F16*Premissas!$D$12</f>
        <v>56779.7188586859</v>
      </c>
      <c r="I16" s="26" t="n">
        <f aca="false">F16-G16-H16</f>
        <v>8007.39624930186</v>
      </c>
      <c r="J16" s="26" t="n">
        <f aca="false">Premissas!$D$14+Premissas!$D$15</f>
        <v>11000</v>
      </c>
      <c r="K16" s="26" t="n">
        <f aca="false">I16-J16</f>
        <v>-2992.60375069814</v>
      </c>
      <c r="L16" s="26" t="n">
        <f aca="false">K16</f>
        <v>-2992.60375069814</v>
      </c>
      <c r="M16" s="26" t="n">
        <f aca="false">M15+L16</f>
        <v>-117440.528736735</v>
      </c>
      <c r="N16" s="24" t="n">
        <f aca="false">IF(M16&gt;=0,1,0)</f>
        <v>0</v>
      </c>
    </row>
    <row r="17" customFormat="false" ht="15" hidden="false" customHeight="false" outlineLevel="0" collapsed="false">
      <c r="A17" s="28" t="n">
        <f aca="false">A16+1</f>
        <v>12</v>
      </c>
      <c r="B17" s="29" t="n">
        <f aca="false">MIN(Premissas!$D$10,B16*(1-Premissas!$D$11)+IF(A17=1,Premissas!$D$8,Premissas!$D$9*Premissas!$B$25))</f>
        <v>14.0735974162591</v>
      </c>
      <c r="C17" s="29" t="n">
        <f aca="false">MAX(0,B17-B16*(1-Premissas!$D$11))</f>
        <v>1.5</v>
      </c>
      <c r="D17" s="30" t="n">
        <f aca="false">B17*Premissas!$D$6*Premissas!$B$26</f>
        <v>77404.7857894252</v>
      </c>
      <c r="E17" s="30" t="n">
        <f aca="false">C17*Premissas!$D$7*Premissas!$B$26</f>
        <v>0</v>
      </c>
      <c r="F17" s="30" t="n">
        <f aca="false">D17+E17</f>
        <v>77404.7857894252</v>
      </c>
      <c r="G17" s="30" t="n">
        <f aca="false">F17*Premissas!$D$13</f>
        <v>8514.52643683677</v>
      </c>
      <c r="H17" s="30" t="n">
        <f aca="false">F17*Premissas!$D$12</f>
        <v>60375.7329157516</v>
      </c>
      <c r="I17" s="30" t="n">
        <f aca="false">F17-G17-H17</f>
        <v>8514.52643683676</v>
      </c>
      <c r="J17" s="30" t="n">
        <f aca="false">Premissas!$D$14+Premissas!$D$15</f>
        <v>11000</v>
      </c>
      <c r="K17" s="30" t="n">
        <f aca="false">I17-J17</f>
        <v>-2485.47356316324</v>
      </c>
      <c r="L17" s="30" t="n">
        <f aca="false">K17</f>
        <v>-2485.47356316324</v>
      </c>
      <c r="M17" s="30" t="n">
        <f aca="false">M16+L17</f>
        <v>-119926.002299899</v>
      </c>
      <c r="N17" s="28" t="n">
        <f aca="false">IF(M17&gt;=0,1,0)</f>
        <v>0</v>
      </c>
    </row>
    <row r="18" customFormat="false" ht="15" hidden="false" customHeight="false" outlineLevel="0" collapsed="false">
      <c r="A18" s="24" t="n">
        <f aca="false">A17+1</f>
        <v>13</v>
      </c>
      <c r="B18" s="25" t="n">
        <f aca="false">MIN(Premissas!$D$10,B17*(1-Premissas!$D$11)+IF(A18=1,Premissas!$D$8,Premissas!$D$9*Premissas!$B$25))</f>
        <v>14.8699175454462</v>
      </c>
      <c r="C18" s="25" t="n">
        <f aca="false">MAX(0,B18-B17*(1-Premissas!$D$11))</f>
        <v>1.5</v>
      </c>
      <c r="D18" s="26" t="n">
        <f aca="false">B18*Premissas!$D$6*Premissas!$B$26</f>
        <v>81784.5464999539</v>
      </c>
      <c r="E18" s="26" t="n">
        <f aca="false">C18*Premissas!$D$7*Premissas!$B$26</f>
        <v>0</v>
      </c>
      <c r="F18" s="26" t="n">
        <f aca="false">D18+E18</f>
        <v>81784.5464999539</v>
      </c>
      <c r="G18" s="26" t="n">
        <f aca="false">F18*Premissas!$D$13</f>
        <v>8996.30011499493</v>
      </c>
      <c r="H18" s="26" t="n">
        <f aca="false">F18*Premissas!$D$12</f>
        <v>63791.946269964</v>
      </c>
      <c r="I18" s="26" t="n">
        <f aca="false">F18-G18-H18</f>
        <v>8996.30011499493</v>
      </c>
      <c r="J18" s="26" t="n">
        <f aca="false">Premissas!$D$14+Premissas!$D$15</f>
        <v>11000</v>
      </c>
      <c r="K18" s="26" t="n">
        <f aca="false">I18-J18</f>
        <v>-2003.69988500507</v>
      </c>
      <c r="L18" s="26" t="n">
        <f aca="false">K18</f>
        <v>-2003.69988500507</v>
      </c>
      <c r="M18" s="26" t="n">
        <f aca="false">M17+L18</f>
        <v>-121929.702184904</v>
      </c>
      <c r="N18" s="24" t="n">
        <f aca="false">IF(M18&gt;=0,1,0)</f>
        <v>0</v>
      </c>
    </row>
    <row r="19" customFormat="false" ht="15" hidden="false" customHeight="false" outlineLevel="0" collapsed="false">
      <c r="A19" s="24" t="n">
        <f aca="false">A18+1</f>
        <v>14</v>
      </c>
      <c r="B19" s="25" t="n">
        <f aca="false">MIN(Premissas!$D$10,B18*(1-Premissas!$D$11)+IF(A19=1,Premissas!$D$8,Premissas!$D$9*Premissas!$B$25))</f>
        <v>15.6264216681739</v>
      </c>
      <c r="C19" s="25" t="n">
        <f aca="false">MAX(0,B19-B18*(1-Premissas!$D$11))</f>
        <v>1.5</v>
      </c>
      <c r="D19" s="26" t="n">
        <f aca="false">B19*Premissas!$D$6*Premissas!$B$26</f>
        <v>85945.3191749562</v>
      </c>
      <c r="E19" s="26" t="n">
        <f aca="false">C19*Premissas!$D$7*Premissas!$B$26</f>
        <v>0</v>
      </c>
      <c r="F19" s="26" t="n">
        <f aca="false">D19+E19</f>
        <v>85945.3191749562</v>
      </c>
      <c r="G19" s="26" t="n">
        <f aca="false">F19*Premissas!$D$13</f>
        <v>9453.98510924518</v>
      </c>
      <c r="H19" s="26" t="n">
        <f aca="false">F19*Premissas!$D$12</f>
        <v>67037.3489564658</v>
      </c>
      <c r="I19" s="26" t="n">
        <f aca="false">F19-G19-H19</f>
        <v>9453.98510924517</v>
      </c>
      <c r="J19" s="26" t="n">
        <f aca="false">Premissas!$D$14+Premissas!$D$15</f>
        <v>11000</v>
      </c>
      <c r="K19" s="26" t="n">
        <f aca="false">I19-J19</f>
        <v>-1546.01489075483</v>
      </c>
      <c r="L19" s="26" t="n">
        <f aca="false">K19</f>
        <v>-1546.01489075483</v>
      </c>
      <c r="M19" s="26" t="n">
        <f aca="false">M18+L19</f>
        <v>-123475.717075659</v>
      </c>
      <c r="N19" s="24" t="n">
        <f aca="false">IF(M19&gt;=0,1,0)</f>
        <v>0</v>
      </c>
    </row>
    <row r="20" customFormat="false" ht="15" hidden="false" customHeight="false" outlineLevel="0" collapsed="false">
      <c r="A20" s="24" t="n">
        <f aca="false">A19+1</f>
        <v>15</v>
      </c>
      <c r="B20" s="25" t="n">
        <f aca="false">MIN(Premissas!$D$10,B19*(1-Premissas!$D$11)+IF(A20=1,Premissas!$D$8,Premissas!$D$9*Premissas!$B$25))</f>
        <v>16.3451005847652</v>
      </c>
      <c r="C20" s="25" t="n">
        <f aca="false">MAX(0,B20-B19*(1-Premissas!$D$11))</f>
        <v>1.5</v>
      </c>
      <c r="D20" s="26" t="n">
        <f aca="false">B20*Premissas!$D$6*Premissas!$B$26</f>
        <v>89898.0532162084</v>
      </c>
      <c r="E20" s="26" t="n">
        <f aca="false">C20*Premissas!$D$7*Premissas!$B$26</f>
        <v>0</v>
      </c>
      <c r="F20" s="26" t="n">
        <f aca="false">D20+E20</f>
        <v>89898.0532162084</v>
      </c>
      <c r="G20" s="26" t="n">
        <f aca="false">F20*Premissas!$D$13</f>
        <v>9888.78585378292</v>
      </c>
      <c r="H20" s="26" t="n">
        <f aca="false">F20*Premissas!$D$12</f>
        <v>70120.4815086425</v>
      </c>
      <c r="I20" s="26" t="n">
        <f aca="false">F20-G20-H20</f>
        <v>9888.78585378293</v>
      </c>
      <c r="J20" s="26" t="n">
        <f aca="false">Premissas!$D$14+Premissas!$D$15</f>
        <v>11000</v>
      </c>
      <c r="K20" s="26" t="n">
        <f aca="false">I20-J20</f>
        <v>-1111.21414621707</v>
      </c>
      <c r="L20" s="26" t="n">
        <f aca="false">K20</f>
        <v>-1111.21414621707</v>
      </c>
      <c r="M20" s="26" t="n">
        <f aca="false">M19+L20</f>
        <v>-124586.931221876</v>
      </c>
      <c r="N20" s="24" t="n">
        <f aca="false">IF(M20&gt;=0,1,0)</f>
        <v>0</v>
      </c>
    </row>
    <row r="21" customFormat="false" ht="15" hidden="false" customHeight="false" outlineLevel="0" collapsed="false">
      <c r="A21" s="24" t="n">
        <f aca="false">A20+1</f>
        <v>16</v>
      </c>
      <c r="B21" s="25" t="n">
        <f aca="false">MIN(Premissas!$D$10,B20*(1-Premissas!$D$11)+IF(A21=1,Premissas!$D$8,Premissas!$D$9*Premissas!$B$25))</f>
        <v>17.0278455555269</v>
      </c>
      <c r="C21" s="25" t="n">
        <f aca="false">MAX(0,B21-B20*(1-Premissas!$D$11))</f>
        <v>1.5</v>
      </c>
      <c r="D21" s="26" t="n">
        <f aca="false">B21*Premissas!$D$6*Premissas!$B$26</f>
        <v>93653.150555398</v>
      </c>
      <c r="E21" s="26" t="n">
        <f aca="false">C21*Premissas!$D$7*Premissas!$B$26</f>
        <v>0</v>
      </c>
      <c r="F21" s="26" t="n">
        <f aca="false">D21+E21</f>
        <v>93653.150555398</v>
      </c>
      <c r="G21" s="26" t="n">
        <f aca="false">F21*Premissas!$D$13</f>
        <v>10301.8465610938</v>
      </c>
      <c r="H21" s="26" t="n">
        <f aca="false">F21*Premissas!$D$12</f>
        <v>73049.4574332104</v>
      </c>
      <c r="I21" s="26" t="n">
        <f aca="false">F21-G21-H21</f>
        <v>10301.8465610938</v>
      </c>
      <c r="J21" s="26" t="n">
        <f aca="false">Premissas!$D$14+Premissas!$D$15</f>
        <v>11000</v>
      </c>
      <c r="K21" s="26" t="n">
        <f aca="false">I21-J21</f>
        <v>-698.153438906214</v>
      </c>
      <c r="L21" s="26" t="n">
        <f aca="false">K21</f>
        <v>-698.153438906214</v>
      </c>
      <c r="M21" s="26" t="n">
        <f aca="false">M20+L21</f>
        <v>-125285.084660782</v>
      </c>
      <c r="N21" s="24" t="n">
        <f aca="false">IF(M21&gt;=0,1,0)</f>
        <v>0</v>
      </c>
    </row>
    <row r="22" customFormat="false" ht="15" hidden="false" customHeight="false" outlineLevel="0" collapsed="false">
      <c r="A22" s="24" t="n">
        <f aca="false">A21+1</f>
        <v>17</v>
      </c>
      <c r="B22" s="25" t="n">
        <f aca="false">MIN(Premissas!$D$10,B21*(1-Premissas!$D$11)+IF(A22=1,Premissas!$D$8,Premissas!$D$9*Premissas!$B$25))</f>
        <v>17.6764532777506</v>
      </c>
      <c r="C22" s="25" t="n">
        <f aca="false">MAX(0,B22-B21*(1-Premissas!$D$11))</f>
        <v>1.5</v>
      </c>
      <c r="D22" s="26" t="n">
        <f aca="false">B22*Premissas!$D$6*Premissas!$B$26</f>
        <v>97220.4930276281</v>
      </c>
      <c r="E22" s="26" t="n">
        <f aca="false">C22*Premissas!$D$7*Premissas!$B$26</f>
        <v>0</v>
      </c>
      <c r="F22" s="26" t="n">
        <f aca="false">D22+E22</f>
        <v>97220.4930276281</v>
      </c>
      <c r="G22" s="26" t="n">
        <f aca="false">F22*Premissas!$D$13</f>
        <v>10694.2542330391</v>
      </c>
      <c r="H22" s="26" t="n">
        <f aca="false">F22*Premissas!$D$12</f>
        <v>75831.9845615499</v>
      </c>
      <c r="I22" s="26" t="n">
        <f aca="false">F22-G22-H22</f>
        <v>10694.2542330391</v>
      </c>
      <c r="J22" s="26" t="n">
        <f aca="false">Premissas!$D$14+Premissas!$D$15</f>
        <v>11000</v>
      </c>
      <c r="K22" s="26" t="n">
        <f aca="false">I22-J22</f>
        <v>-305.745766960914</v>
      </c>
      <c r="L22" s="26" t="n">
        <f aca="false">K22</f>
        <v>-305.745766960914</v>
      </c>
      <c r="M22" s="26" t="n">
        <f aca="false">M21+L22</f>
        <v>-125590.830427743</v>
      </c>
      <c r="N22" s="24" t="n">
        <f aca="false">IF(M22&gt;=0,1,0)</f>
        <v>0</v>
      </c>
    </row>
    <row r="23" customFormat="false" ht="15" hidden="false" customHeight="false" outlineLevel="0" collapsed="false">
      <c r="A23" s="24" t="n">
        <f aca="false">A22+1</f>
        <v>18</v>
      </c>
      <c r="B23" s="25" t="n">
        <f aca="false">MIN(Premissas!$D$10,B22*(1-Premissas!$D$11)+IF(A23=1,Premissas!$D$8,Premissas!$D$9*Premissas!$B$25))</f>
        <v>18.292630613863</v>
      </c>
      <c r="C23" s="25" t="n">
        <f aca="false">MAX(0,B23-B22*(1-Premissas!$D$11))</f>
        <v>1.5</v>
      </c>
      <c r="D23" s="26" t="n">
        <f aca="false">B23*Premissas!$D$6*Premissas!$B$26</f>
        <v>100609.468376247</v>
      </c>
      <c r="E23" s="26" t="n">
        <f aca="false">C23*Premissas!$D$7*Premissas!$B$26</f>
        <v>0</v>
      </c>
      <c r="F23" s="26" t="n">
        <f aca="false">D23+E23</f>
        <v>100609.468376247</v>
      </c>
      <c r="G23" s="26" t="n">
        <f aca="false">F23*Premissas!$D$13</f>
        <v>11067.0415213871</v>
      </c>
      <c r="H23" s="26" t="n">
        <f aca="false">F23*Premissas!$D$12</f>
        <v>78475.3853334724</v>
      </c>
      <c r="I23" s="26" t="n">
        <f aca="false">F23-G23-H23</f>
        <v>11067.0415213871</v>
      </c>
      <c r="J23" s="26" t="n">
        <f aca="false">Premissas!$D$14+Premissas!$D$15</f>
        <v>11000</v>
      </c>
      <c r="K23" s="26" t="n">
        <f aca="false">I23-J23</f>
        <v>67.0415213871311</v>
      </c>
      <c r="L23" s="26" t="n">
        <f aca="false">K23</f>
        <v>67.0415213871311</v>
      </c>
      <c r="M23" s="26" t="n">
        <f aca="false">M22+L23</f>
        <v>-125523.788906356</v>
      </c>
      <c r="N23" s="24" t="n">
        <f aca="false">IF(M23&gt;=0,1,0)</f>
        <v>0</v>
      </c>
    </row>
    <row r="24" customFormat="false" ht="15" hidden="false" customHeight="false" outlineLevel="0" collapsed="false">
      <c r="A24" s="24" t="n">
        <f aca="false">A23+1</f>
        <v>19</v>
      </c>
      <c r="B24" s="25" t="n">
        <f aca="false">MIN(Premissas!$D$10,B23*(1-Premissas!$D$11)+IF(A24=1,Premissas!$D$8,Premissas!$D$9*Premissas!$B$25))</f>
        <v>18.8779990831699</v>
      </c>
      <c r="C24" s="25" t="n">
        <f aca="false">MAX(0,B24-B23*(1-Premissas!$D$11))</f>
        <v>1.5</v>
      </c>
      <c r="D24" s="26" t="n">
        <f aca="false">B24*Premissas!$D$6*Premissas!$B$26</f>
        <v>103828.994957434</v>
      </c>
      <c r="E24" s="26" t="n">
        <f aca="false">C24*Premissas!$D$7*Premissas!$B$26</f>
        <v>0</v>
      </c>
      <c r="F24" s="26" t="n">
        <f aca="false">D24+E24</f>
        <v>103828.994957434</v>
      </c>
      <c r="G24" s="26" t="n">
        <f aca="false">F24*Premissas!$D$13</f>
        <v>11421.1894453178</v>
      </c>
      <c r="H24" s="26" t="n">
        <f aca="false">F24*Premissas!$D$12</f>
        <v>80986.6160667988</v>
      </c>
      <c r="I24" s="26" t="n">
        <f aca="false">F24-G24-H24</f>
        <v>11421.1894453178</v>
      </c>
      <c r="J24" s="26" t="n">
        <f aca="false">Premissas!$D$14+Premissas!$D$15</f>
        <v>11000</v>
      </c>
      <c r="K24" s="26" t="n">
        <f aca="false">I24-J24</f>
        <v>421.189445317767</v>
      </c>
      <c r="L24" s="26" t="n">
        <f aca="false">K24</f>
        <v>421.189445317767</v>
      </c>
      <c r="M24" s="26" t="n">
        <f aca="false">M23+L24</f>
        <v>-125102.599461038</v>
      </c>
      <c r="N24" s="24" t="n">
        <f aca="false">IF(M24&gt;=0,1,0)</f>
        <v>0</v>
      </c>
    </row>
    <row r="25" customFormat="false" ht="15" hidden="false" customHeight="false" outlineLevel="0" collapsed="false">
      <c r="A25" s="24" t="n">
        <f aca="false">A24+1</f>
        <v>20</v>
      </c>
      <c r="B25" s="25" t="n">
        <f aca="false">MIN(Premissas!$D$10,B24*(1-Premissas!$D$11)+IF(A25=1,Premissas!$D$8,Premissas!$D$9*Premissas!$B$25))</f>
        <v>19.4340991290114</v>
      </c>
      <c r="C25" s="25" t="n">
        <f aca="false">MAX(0,B25-B24*(1-Premissas!$D$11))</f>
        <v>1.5</v>
      </c>
      <c r="D25" s="26" t="n">
        <f aca="false">B25*Premissas!$D$6*Premissas!$B$26</f>
        <v>106887.545209563</v>
      </c>
      <c r="E25" s="26" t="n">
        <f aca="false">C25*Premissas!$D$7*Premissas!$B$26</f>
        <v>0</v>
      </c>
      <c r="F25" s="26" t="n">
        <f aca="false">D25+E25</f>
        <v>106887.545209563</v>
      </c>
      <c r="G25" s="26" t="n">
        <f aca="false">F25*Premissas!$D$13</f>
        <v>11757.6299730519</v>
      </c>
      <c r="H25" s="26" t="n">
        <f aca="false">F25*Premissas!$D$12</f>
        <v>83372.2852634588</v>
      </c>
      <c r="I25" s="26" t="n">
        <f aca="false">F25-G25-H25</f>
        <v>11757.6299730519</v>
      </c>
      <c r="J25" s="26" t="n">
        <f aca="false">Premissas!$D$14+Premissas!$D$15</f>
        <v>11000</v>
      </c>
      <c r="K25" s="26" t="n">
        <f aca="false">I25-J25</f>
        <v>757.62997305188</v>
      </c>
      <c r="L25" s="26" t="n">
        <f aca="false">K25</f>
        <v>757.62997305188</v>
      </c>
      <c r="M25" s="26" t="n">
        <f aca="false">M24+L25</f>
        <v>-124344.969487986</v>
      </c>
      <c r="N25" s="24" t="n">
        <f aca="false">IF(M25&gt;=0,1,0)</f>
        <v>0</v>
      </c>
    </row>
    <row r="26" customFormat="false" ht="15" hidden="false" customHeight="false" outlineLevel="0" collapsed="false">
      <c r="A26" s="24" t="n">
        <f aca="false">A25+1</f>
        <v>21</v>
      </c>
      <c r="B26" s="25" t="n">
        <f aca="false">MIN(Premissas!$D$10,B25*(1-Premissas!$D$11)+IF(A26=1,Premissas!$D$8,Premissas!$D$9*Premissas!$B$25))</f>
        <v>19.9623941725608</v>
      </c>
      <c r="C26" s="25" t="n">
        <f aca="false">MAX(0,B26-B25*(1-Premissas!$D$11))</f>
        <v>1.5</v>
      </c>
      <c r="D26" s="26" t="n">
        <f aca="false">B26*Premissas!$D$6*Premissas!$B$26</f>
        <v>109793.167949084</v>
      </c>
      <c r="E26" s="26" t="n">
        <f aca="false">C26*Premissas!$D$7*Premissas!$B$26</f>
        <v>0</v>
      </c>
      <c r="F26" s="26" t="n">
        <f aca="false">D26+E26</f>
        <v>109793.167949084</v>
      </c>
      <c r="G26" s="26" t="n">
        <f aca="false">F26*Premissas!$D$13</f>
        <v>12077.2484743993</v>
      </c>
      <c r="H26" s="26" t="n">
        <f aca="false">F26*Premissas!$D$12</f>
        <v>85638.6710002859</v>
      </c>
      <c r="I26" s="26" t="n">
        <f aca="false">F26-G26-H26</f>
        <v>12077.2484743993</v>
      </c>
      <c r="J26" s="26" t="n">
        <f aca="false">Premissas!$D$14+Premissas!$D$15</f>
        <v>11000</v>
      </c>
      <c r="K26" s="26" t="n">
        <f aca="false">I26-J26</f>
        <v>1077.24847439928</v>
      </c>
      <c r="L26" s="26" t="n">
        <f aca="false">K26</f>
        <v>1077.24847439928</v>
      </c>
      <c r="M26" s="26" t="n">
        <f aca="false">M25+L26</f>
        <v>-123267.721013587</v>
      </c>
      <c r="N26" s="24" t="n">
        <f aca="false">IF(M26&gt;=0,1,0)</f>
        <v>0</v>
      </c>
    </row>
    <row r="27" customFormat="false" ht="15" hidden="false" customHeight="false" outlineLevel="0" collapsed="false">
      <c r="A27" s="24" t="n">
        <f aca="false">A26+1</f>
        <v>22</v>
      </c>
      <c r="B27" s="25" t="n">
        <f aca="false">MIN(Premissas!$D$10,B26*(1-Premissas!$D$11)+IF(A27=1,Premissas!$D$8,Premissas!$D$9*Premissas!$B$25))</f>
        <v>20.4642744639328</v>
      </c>
      <c r="C27" s="25" t="n">
        <f aca="false">MAX(0,B27-B26*(1-Premissas!$D$11))</f>
        <v>1.5</v>
      </c>
      <c r="D27" s="26" t="n">
        <f aca="false">B27*Premissas!$D$6*Premissas!$B$26</f>
        <v>112553.50955163</v>
      </c>
      <c r="E27" s="26" t="n">
        <f aca="false">C27*Premissas!$D$7*Premissas!$B$26</f>
        <v>0</v>
      </c>
      <c r="F27" s="26" t="n">
        <f aca="false">D27+E27</f>
        <v>112553.50955163</v>
      </c>
      <c r="G27" s="26" t="n">
        <f aca="false">F27*Premissas!$D$13</f>
        <v>12380.8860506793</v>
      </c>
      <c r="H27" s="26" t="n">
        <f aca="false">F27*Premissas!$D$12</f>
        <v>87791.7374502716</v>
      </c>
      <c r="I27" s="26" t="n">
        <f aca="false">F27-G27-H27</f>
        <v>12380.8860506793</v>
      </c>
      <c r="J27" s="26" t="n">
        <f aca="false">Premissas!$D$14+Premissas!$D$15</f>
        <v>11000</v>
      </c>
      <c r="K27" s="26" t="n">
        <f aca="false">I27-J27</f>
        <v>1380.88605067931</v>
      </c>
      <c r="L27" s="26" t="n">
        <f aca="false">K27</f>
        <v>1380.88605067931</v>
      </c>
      <c r="M27" s="26" t="n">
        <f aca="false">M26+L27</f>
        <v>-121886.834962907</v>
      </c>
      <c r="N27" s="24" t="n">
        <f aca="false">IF(M27&gt;=0,1,0)</f>
        <v>0</v>
      </c>
    </row>
    <row r="28" customFormat="false" ht="15" hidden="false" customHeight="false" outlineLevel="0" collapsed="false">
      <c r="A28" s="24" t="n">
        <f aca="false">A27+1</f>
        <v>23</v>
      </c>
      <c r="B28" s="25" t="n">
        <f aca="false">MIN(Premissas!$D$10,B27*(1-Premissas!$D$11)+IF(A28=1,Premissas!$D$8,Premissas!$D$9*Premissas!$B$25))</f>
        <v>20.9410607407361</v>
      </c>
      <c r="C28" s="25" t="n">
        <f aca="false">MAX(0,B28-B27*(1-Premissas!$D$11))</f>
        <v>1.5</v>
      </c>
      <c r="D28" s="26" t="n">
        <f aca="false">B28*Premissas!$D$6*Premissas!$B$26</f>
        <v>115175.834074049</v>
      </c>
      <c r="E28" s="26" t="n">
        <f aca="false">C28*Premissas!$D$7*Premissas!$B$26</f>
        <v>0</v>
      </c>
      <c r="F28" s="26" t="n">
        <f aca="false">D28+E28</f>
        <v>115175.834074049</v>
      </c>
      <c r="G28" s="26" t="n">
        <f aca="false">F28*Premissas!$D$13</f>
        <v>12669.3417481454</v>
      </c>
      <c r="H28" s="26" t="n">
        <f aca="false">F28*Premissas!$D$12</f>
        <v>89837.150577758</v>
      </c>
      <c r="I28" s="26" t="n">
        <f aca="false">F28-G28-H28</f>
        <v>12669.3417481454</v>
      </c>
      <c r="J28" s="26" t="n">
        <f aca="false">Premissas!$D$14+Premissas!$D$15</f>
        <v>11000</v>
      </c>
      <c r="K28" s="26" t="n">
        <f aca="false">I28-J28</f>
        <v>1669.34174814537</v>
      </c>
      <c r="L28" s="26" t="n">
        <f aca="false">K28</f>
        <v>1669.34174814537</v>
      </c>
      <c r="M28" s="26" t="n">
        <f aca="false">M27+L28</f>
        <v>-120217.493214762</v>
      </c>
      <c r="N28" s="24" t="n">
        <f aca="false">IF(M28&gt;=0,1,0)</f>
        <v>0</v>
      </c>
    </row>
    <row r="29" customFormat="false" ht="15" hidden="false" customHeight="false" outlineLevel="0" collapsed="false">
      <c r="A29" s="28" t="n">
        <f aca="false">A28+1</f>
        <v>24</v>
      </c>
      <c r="B29" s="29" t="n">
        <f aca="false">MIN(Premissas!$D$10,B28*(1-Premissas!$D$11)+IF(A29=1,Premissas!$D$8,Premissas!$D$9*Premissas!$B$25))</f>
        <v>21.3940077036993</v>
      </c>
      <c r="C29" s="29" t="n">
        <f aca="false">MAX(0,B29-B28*(1-Premissas!$D$11))</f>
        <v>1.5</v>
      </c>
      <c r="D29" s="30" t="n">
        <f aca="false">B29*Premissas!$D$6*Premissas!$B$26</f>
        <v>117667.042370346</v>
      </c>
      <c r="E29" s="30" t="n">
        <f aca="false">C29*Premissas!$D$7*Premissas!$B$26</f>
        <v>0</v>
      </c>
      <c r="F29" s="30" t="n">
        <f aca="false">D29+E29</f>
        <v>117667.042370346</v>
      </c>
      <c r="G29" s="30" t="n">
        <f aca="false">F29*Premissas!$D$13</f>
        <v>12943.3746607381</v>
      </c>
      <c r="H29" s="30" t="n">
        <f aca="false">F29*Premissas!$D$12</f>
        <v>91780.2930488701</v>
      </c>
      <c r="I29" s="30" t="n">
        <f aca="false">F29-G29-H29</f>
        <v>12943.3746607381</v>
      </c>
      <c r="J29" s="30" t="n">
        <f aca="false">Premissas!$D$14+Premissas!$D$15</f>
        <v>11000</v>
      </c>
      <c r="K29" s="30" t="n">
        <f aca="false">I29-J29</f>
        <v>1943.37466073809</v>
      </c>
      <c r="L29" s="30" t="n">
        <f aca="false">K29</f>
        <v>1943.37466073809</v>
      </c>
      <c r="M29" s="30" t="n">
        <f aca="false">M28+L29</f>
        <v>-118274.118554024</v>
      </c>
      <c r="N29" s="28" t="n">
        <f aca="false">IF(M29&gt;=0,1,0)</f>
        <v>0</v>
      </c>
    </row>
    <row r="30" customFormat="false" ht="15" hidden="false" customHeight="false" outlineLevel="0" collapsed="false">
      <c r="A30" s="24" t="n">
        <f aca="false">A29+1</f>
        <v>25</v>
      </c>
      <c r="B30" s="25" t="n">
        <f aca="false">MIN(Premissas!$D$10,B29*(1-Premissas!$D$11)+IF(A30=1,Premissas!$D$8,Premissas!$D$9*Premissas!$B$25))</f>
        <v>21.8243073185144</v>
      </c>
      <c r="C30" s="25" t="n">
        <f aca="false">MAX(0,B30-B29*(1-Premissas!$D$11))</f>
        <v>1.5</v>
      </c>
      <c r="D30" s="26" t="n">
        <f aca="false">B30*Premissas!$D$6*Premissas!$B$26</f>
        <v>120033.690251829</v>
      </c>
      <c r="E30" s="26" t="n">
        <f aca="false">C30*Premissas!$D$7*Premissas!$B$26</f>
        <v>0</v>
      </c>
      <c r="F30" s="26" t="n">
        <f aca="false">D30+E30</f>
        <v>120033.690251829</v>
      </c>
      <c r="G30" s="26" t="n">
        <f aca="false">F30*Premissas!$D$13</f>
        <v>13203.7059277012</v>
      </c>
      <c r="H30" s="26" t="n">
        <f aca="false">F30*Premissas!$D$12</f>
        <v>93626.2783964266</v>
      </c>
      <c r="I30" s="26" t="n">
        <f aca="false">F30-G30-H30</f>
        <v>13203.7059277012</v>
      </c>
      <c r="J30" s="26" t="n">
        <f aca="false">Premissas!$D$14+Premissas!$D$15</f>
        <v>11000</v>
      </c>
      <c r="K30" s="26" t="n">
        <f aca="false">I30-J30</f>
        <v>2203.70592770117</v>
      </c>
      <c r="L30" s="26" t="n">
        <f aca="false">K30</f>
        <v>2203.70592770117</v>
      </c>
      <c r="M30" s="26" t="n">
        <f aca="false">M29+L30</f>
        <v>-116070.412626323</v>
      </c>
      <c r="N30" s="24" t="n">
        <f aca="false">IF(M30&gt;=0,1,0)</f>
        <v>0</v>
      </c>
    </row>
    <row r="31" customFormat="false" ht="15" hidden="false" customHeight="false" outlineLevel="0" collapsed="false">
      <c r="A31" s="24" t="n">
        <f aca="false">A30+1</f>
        <v>26</v>
      </c>
      <c r="B31" s="25" t="n">
        <f aca="false">MIN(Premissas!$D$10,B30*(1-Premissas!$D$11)+IF(A31=1,Premissas!$D$8,Premissas!$D$9*Premissas!$B$25))</f>
        <v>22.2330919525886</v>
      </c>
      <c r="C31" s="25" t="n">
        <f aca="false">MAX(0,B31-B30*(1-Premissas!$D$11))</f>
        <v>1.5</v>
      </c>
      <c r="D31" s="26" t="n">
        <f aca="false">B31*Premissas!$D$6*Premissas!$B$26</f>
        <v>122282.005739237</v>
      </c>
      <c r="E31" s="26" t="n">
        <f aca="false">C31*Premissas!$D$7*Premissas!$B$26</f>
        <v>0</v>
      </c>
      <c r="F31" s="26" t="n">
        <f aca="false">D31+E31</f>
        <v>122282.005739237</v>
      </c>
      <c r="G31" s="26" t="n">
        <f aca="false">F31*Premissas!$D$13</f>
        <v>13451.0206313161</v>
      </c>
      <c r="H31" s="26" t="n">
        <f aca="false">F31*Premissas!$D$12</f>
        <v>95379.9644766052</v>
      </c>
      <c r="I31" s="26" t="n">
        <f aca="false">F31-G31-H31</f>
        <v>13451.0206313161</v>
      </c>
      <c r="J31" s="26" t="n">
        <f aca="false">Premissas!$D$14+Premissas!$D$15</f>
        <v>11000</v>
      </c>
      <c r="K31" s="26" t="n">
        <f aca="false">I31-J31</f>
        <v>2451.02063131613</v>
      </c>
      <c r="L31" s="26" t="n">
        <f aca="false">K31</f>
        <v>2451.02063131613</v>
      </c>
      <c r="M31" s="26" t="n">
        <f aca="false">M30+L31</f>
        <v>-113619.391995007</v>
      </c>
      <c r="N31" s="24" t="n">
        <f aca="false">IF(M31&gt;=0,1,0)</f>
        <v>0</v>
      </c>
    </row>
    <row r="32" customFormat="false" ht="15" hidden="false" customHeight="false" outlineLevel="0" collapsed="false">
      <c r="A32" s="24" t="n">
        <f aca="false">A31+1</f>
        <v>27</v>
      </c>
      <c r="B32" s="25" t="n">
        <f aca="false">MIN(Premissas!$D$10,B31*(1-Premissas!$D$11)+IF(A32=1,Premissas!$D$8,Premissas!$D$9*Premissas!$B$25))</f>
        <v>22.6214373549592</v>
      </c>
      <c r="C32" s="25" t="n">
        <f aca="false">MAX(0,B32-B31*(1-Premissas!$D$11))</f>
        <v>1.5</v>
      </c>
      <c r="D32" s="26" t="n">
        <f aca="false">B32*Premissas!$D$6*Premissas!$B$26</f>
        <v>124417.905452276</v>
      </c>
      <c r="E32" s="26" t="n">
        <f aca="false">C32*Premissas!$D$7*Premissas!$B$26</f>
        <v>0</v>
      </c>
      <c r="F32" s="26" t="n">
        <f aca="false">D32+E32</f>
        <v>124417.905452276</v>
      </c>
      <c r="G32" s="26" t="n">
        <f aca="false">F32*Premissas!$D$13</f>
        <v>13685.9695997503</v>
      </c>
      <c r="H32" s="26" t="n">
        <f aca="false">F32*Premissas!$D$12</f>
        <v>97045.966252775</v>
      </c>
      <c r="I32" s="26" t="n">
        <f aca="false">F32-G32-H32</f>
        <v>13685.9695997503</v>
      </c>
      <c r="J32" s="26" t="n">
        <f aca="false">Premissas!$D$14+Premissas!$D$15</f>
        <v>11000</v>
      </c>
      <c r="K32" s="26" t="n">
        <f aca="false">I32-J32</f>
        <v>2685.96959975032</v>
      </c>
      <c r="L32" s="26" t="n">
        <f aca="false">K32</f>
        <v>2685.96959975032</v>
      </c>
      <c r="M32" s="26" t="n">
        <f aca="false">M31+L32</f>
        <v>-110933.422395256</v>
      </c>
      <c r="N32" s="24" t="n">
        <f aca="false">IF(M32&gt;=0,1,0)</f>
        <v>0</v>
      </c>
    </row>
    <row r="33" customFormat="false" ht="15" hidden="false" customHeight="false" outlineLevel="0" collapsed="false">
      <c r="A33" s="24" t="n">
        <f aca="false">A32+1</f>
        <v>28</v>
      </c>
      <c r="B33" s="25" t="n">
        <f aca="false">MIN(Premissas!$D$10,B32*(1-Premissas!$D$11)+IF(A33=1,Premissas!$D$8,Premissas!$D$9*Premissas!$B$25))</f>
        <v>22.9903654872112</v>
      </c>
      <c r="C33" s="25" t="n">
        <f aca="false">MAX(0,B33-B32*(1-Premissas!$D$11))</f>
        <v>1.5</v>
      </c>
      <c r="D33" s="26" t="n">
        <f aca="false">B33*Premissas!$D$6*Premissas!$B$26</f>
        <v>126447.010179662</v>
      </c>
      <c r="E33" s="26" t="n">
        <f aca="false">C33*Premissas!$D$7*Premissas!$B$26</f>
        <v>0</v>
      </c>
      <c r="F33" s="26" t="n">
        <f aca="false">D33+E33</f>
        <v>126447.010179662</v>
      </c>
      <c r="G33" s="26" t="n">
        <f aca="false">F33*Premissas!$D$13</f>
        <v>13909.1711197628</v>
      </c>
      <c r="H33" s="26" t="n">
        <f aca="false">F33*Premissas!$D$12</f>
        <v>98628.6679401362</v>
      </c>
      <c r="I33" s="26" t="n">
        <f aca="false">F33-G33-H33</f>
        <v>13909.1711197628</v>
      </c>
      <c r="J33" s="26" t="n">
        <f aca="false">Premissas!$D$14+Premissas!$D$15</f>
        <v>11000</v>
      </c>
      <c r="K33" s="26" t="n">
        <f aca="false">I33-J33</f>
        <v>2909.17111976279</v>
      </c>
      <c r="L33" s="26" t="n">
        <f aca="false">K33</f>
        <v>2909.17111976279</v>
      </c>
      <c r="M33" s="26" t="n">
        <f aca="false">M32+L33</f>
        <v>-108024.251275494</v>
      </c>
      <c r="N33" s="24" t="n">
        <f aca="false">IF(M33&gt;=0,1,0)</f>
        <v>0</v>
      </c>
    </row>
    <row r="34" customFormat="false" ht="15" hidden="false" customHeight="false" outlineLevel="0" collapsed="false">
      <c r="A34" s="24" t="n">
        <f aca="false">A33+1</f>
        <v>29</v>
      </c>
      <c r="B34" s="25" t="n">
        <f aca="false">MIN(Premissas!$D$10,B33*(1-Premissas!$D$11)+IF(A34=1,Premissas!$D$8,Premissas!$D$9*Premissas!$B$25))</f>
        <v>23.3408472128507</v>
      </c>
      <c r="C34" s="25" t="n">
        <f aca="false">MAX(0,B34-B33*(1-Premissas!$D$11))</f>
        <v>1.5</v>
      </c>
      <c r="D34" s="26" t="n">
        <f aca="false">B34*Premissas!$D$6*Premissas!$B$26</f>
        <v>128374.659670679</v>
      </c>
      <c r="E34" s="26" t="n">
        <f aca="false">C34*Premissas!$D$7*Premissas!$B$26</f>
        <v>0</v>
      </c>
      <c r="F34" s="26" t="n">
        <f aca="false">D34+E34</f>
        <v>128374.659670679</v>
      </c>
      <c r="G34" s="26" t="n">
        <f aca="false">F34*Premissas!$D$13</f>
        <v>14121.2125637747</v>
      </c>
      <c r="H34" s="26" t="n">
        <f aca="false">F34*Premissas!$D$12</f>
        <v>100132.234543129</v>
      </c>
      <c r="I34" s="26" t="n">
        <f aca="false">F34-G34-H34</f>
        <v>14121.2125637747</v>
      </c>
      <c r="J34" s="26" t="n">
        <f aca="false">Premissas!$D$14+Premissas!$D$15</f>
        <v>11000</v>
      </c>
      <c r="K34" s="26" t="n">
        <f aca="false">I34-J34</f>
        <v>3121.21256377465</v>
      </c>
      <c r="L34" s="26" t="n">
        <f aca="false">K34</f>
        <v>3121.21256377465</v>
      </c>
      <c r="M34" s="26" t="n">
        <f aca="false">M33+L34</f>
        <v>-104903.038711719</v>
      </c>
      <c r="N34" s="24" t="n">
        <f aca="false">IF(M34&gt;=0,1,0)</f>
        <v>0</v>
      </c>
    </row>
    <row r="35" customFormat="false" ht="15" hidden="false" customHeight="false" outlineLevel="0" collapsed="false">
      <c r="A35" s="24" t="n">
        <f aca="false">A34+1</f>
        <v>30</v>
      </c>
      <c r="B35" s="25" t="n">
        <f aca="false">MIN(Premissas!$D$10,B34*(1-Premissas!$D$11)+IF(A35=1,Premissas!$D$8,Premissas!$D$9*Premissas!$B$25))</f>
        <v>23.6738048522081</v>
      </c>
      <c r="C35" s="25" t="n">
        <f aca="false">MAX(0,B35-B34*(1-Premissas!$D$11))</f>
        <v>1.5</v>
      </c>
      <c r="D35" s="26" t="n">
        <f aca="false">B35*Premissas!$D$6*Premissas!$B$26</f>
        <v>130205.926687145</v>
      </c>
      <c r="E35" s="26" t="n">
        <f aca="false">C35*Premissas!$D$7*Premissas!$B$26</f>
        <v>0</v>
      </c>
      <c r="F35" s="26" t="n">
        <f aca="false">D35+E35</f>
        <v>130205.926687145</v>
      </c>
      <c r="G35" s="26" t="n">
        <f aca="false">F35*Premissas!$D$13</f>
        <v>14322.6519355859</v>
      </c>
      <c r="H35" s="26" t="n">
        <f aca="false">F35*Premissas!$D$12</f>
        <v>101560.622815973</v>
      </c>
      <c r="I35" s="26" t="n">
        <f aca="false">F35-G35-H35</f>
        <v>14322.6519355859</v>
      </c>
      <c r="J35" s="26" t="n">
        <f aca="false">Premissas!$D$14+Premissas!$D$15</f>
        <v>11000</v>
      </c>
      <c r="K35" s="26" t="n">
        <f aca="false">I35-J35</f>
        <v>3322.65193558593</v>
      </c>
      <c r="L35" s="26" t="n">
        <f aca="false">K35</f>
        <v>3322.65193558593</v>
      </c>
      <c r="M35" s="26" t="n">
        <f aca="false">M34+L35</f>
        <v>-101580.386776133</v>
      </c>
      <c r="N35" s="24" t="n">
        <f aca="false">IF(M35&gt;=0,1,0)</f>
        <v>0</v>
      </c>
    </row>
    <row r="36" customFormat="false" ht="15" hidden="false" customHeight="false" outlineLevel="0" collapsed="false">
      <c r="A36" s="24" t="n">
        <f aca="false">A35+1</f>
        <v>31</v>
      </c>
      <c r="B36" s="25" t="n">
        <f aca="false">MIN(Premissas!$D$10,B35*(1-Premissas!$D$11)+IF(A36=1,Premissas!$D$8,Premissas!$D$9*Premissas!$B$25))</f>
        <v>23.9901146095977</v>
      </c>
      <c r="C36" s="25" t="n">
        <f aca="false">MAX(0,B36-B35*(1-Premissas!$D$11))</f>
        <v>1.5</v>
      </c>
      <c r="D36" s="26" t="n">
        <f aca="false">B36*Premissas!$D$6*Premissas!$B$26</f>
        <v>131945.630352788</v>
      </c>
      <c r="E36" s="26" t="n">
        <f aca="false">C36*Premissas!$D$7*Premissas!$B$26</f>
        <v>0</v>
      </c>
      <c r="F36" s="26" t="n">
        <f aca="false">D36+E36</f>
        <v>131945.630352788</v>
      </c>
      <c r="G36" s="26" t="n">
        <f aca="false">F36*Premissas!$D$13</f>
        <v>14514.0193388066</v>
      </c>
      <c r="H36" s="26" t="n">
        <f aca="false">F36*Premissas!$D$12</f>
        <v>102917.591675174</v>
      </c>
      <c r="I36" s="26" t="n">
        <f aca="false">F36-G36-H36</f>
        <v>14514.0193388066</v>
      </c>
      <c r="J36" s="26" t="n">
        <f aca="false">Premissas!$D$14+Premissas!$D$15</f>
        <v>11000</v>
      </c>
      <c r="K36" s="26" t="n">
        <f aca="false">I36-J36</f>
        <v>3514.01933880664</v>
      </c>
      <c r="L36" s="26" t="n">
        <f aca="false">K36</f>
        <v>3514.01933880664</v>
      </c>
      <c r="M36" s="26" t="n">
        <f aca="false">M35+L36</f>
        <v>-98066.3674373263</v>
      </c>
      <c r="N36" s="24" t="n">
        <f aca="false">IF(M36&gt;=0,1,0)</f>
        <v>0</v>
      </c>
    </row>
    <row r="37" customFormat="false" ht="15" hidden="false" customHeight="false" outlineLevel="0" collapsed="false">
      <c r="A37" s="24" t="n">
        <f aca="false">A36+1</f>
        <v>32</v>
      </c>
      <c r="B37" s="25" t="n">
        <f aca="false">MIN(Premissas!$D$10,B36*(1-Premissas!$D$11)+IF(A37=1,Premissas!$D$8,Premissas!$D$9*Premissas!$B$25))</f>
        <v>24.2906088791178</v>
      </c>
      <c r="C37" s="25" t="n">
        <f aca="false">MAX(0,B37-B36*(1-Premissas!$D$11))</f>
        <v>1.5</v>
      </c>
      <c r="D37" s="26" t="n">
        <f aca="false">B37*Premissas!$D$6*Premissas!$B$26</f>
        <v>133598.348835148</v>
      </c>
      <c r="E37" s="26" t="n">
        <f aca="false">C37*Premissas!$D$7*Premissas!$B$26</f>
        <v>0</v>
      </c>
      <c r="F37" s="26" t="n">
        <f aca="false">D37+E37</f>
        <v>133598.348835148</v>
      </c>
      <c r="G37" s="26" t="n">
        <f aca="false">F37*Premissas!$D$13</f>
        <v>14695.8183718663</v>
      </c>
      <c r="H37" s="26" t="n">
        <f aca="false">F37*Premissas!$D$12</f>
        <v>104206.712091416</v>
      </c>
      <c r="I37" s="26" t="n">
        <f aca="false">F37-G37-H37</f>
        <v>14695.8183718663</v>
      </c>
      <c r="J37" s="26" t="n">
        <f aca="false">Premissas!$D$14+Premissas!$D$15</f>
        <v>11000</v>
      </c>
      <c r="K37" s="26" t="n">
        <f aca="false">I37-J37</f>
        <v>3695.81837186629</v>
      </c>
      <c r="L37" s="26" t="n">
        <f aca="false">K37</f>
        <v>3695.81837186629</v>
      </c>
      <c r="M37" s="26" t="n">
        <f aca="false">M36+L37</f>
        <v>-94370.54906546</v>
      </c>
      <c r="N37" s="24" t="n">
        <f aca="false">IF(M37&gt;=0,1,0)</f>
        <v>0</v>
      </c>
    </row>
    <row r="38" customFormat="false" ht="15" hidden="false" customHeight="false" outlineLevel="0" collapsed="false">
      <c r="A38" s="24" t="n">
        <f aca="false">A37+1</f>
        <v>33</v>
      </c>
      <c r="B38" s="25" t="n">
        <f aca="false">MIN(Premissas!$D$10,B37*(1-Premissas!$D$11)+IF(A38=1,Premissas!$D$8,Premissas!$D$9*Premissas!$B$25))</f>
        <v>24.576078435162</v>
      </c>
      <c r="C38" s="25" t="n">
        <f aca="false">MAX(0,B38-B37*(1-Premissas!$D$11))</f>
        <v>1.5</v>
      </c>
      <c r="D38" s="26" t="n">
        <f aca="false">B38*Premissas!$D$6*Premissas!$B$26</f>
        <v>135168.431393391</v>
      </c>
      <c r="E38" s="26" t="n">
        <f aca="false">C38*Premissas!$D$7*Premissas!$B$26</f>
        <v>0</v>
      </c>
      <c r="F38" s="26" t="n">
        <f aca="false">D38+E38</f>
        <v>135168.431393391</v>
      </c>
      <c r="G38" s="26" t="n">
        <f aca="false">F38*Premissas!$D$13</f>
        <v>14868.527453273</v>
      </c>
      <c r="H38" s="26" t="n">
        <f aca="false">F38*Premissas!$D$12</f>
        <v>105431.376486845</v>
      </c>
      <c r="I38" s="26" t="n">
        <f aca="false">F38-G38-H38</f>
        <v>14868.527453273</v>
      </c>
      <c r="J38" s="26" t="n">
        <f aca="false">Premissas!$D$14+Premissas!$D$15</f>
        <v>11000</v>
      </c>
      <c r="K38" s="26" t="n">
        <f aca="false">I38-J38</f>
        <v>3868.52745327298</v>
      </c>
      <c r="L38" s="26" t="n">
        <f aca="false">K38</f>
        <v>3868.52745327298</v>
      </c>
      <c r="M38" s="26" t="n">
        <f aca="false">M37+L38</f>
        <v>-90502.021612187</v>
      </c>
      <c r="N38" s="24" t="n">
        <f aca="false">IF(M38&gt;=0,1,0)</f>
        <v>0</v>
      </c>
    </row>
    <row r="39" customFormat="false" ht="15" hidden="false" customHeight="false" outlineLevel="0" collapsed="false">
      <c r="A39" s="24" t="n">
        <f aca="false">A38+1</f>
        <v>34</v>
      </c>
      <c r="B39" s="25" t="n">
        <f aca="false">MIN(Premissas!$D$10,B38*(1-Premissas!$D$11)+IF(A39=1,Premissas!$D$8,Premissas!$D$9*Premissas!$B$25))</f>
        <v>24.8472745134039</v>
      </c>
      <c r="C39" s="25" t="n">
        <f aca="false">MAX(0,B39-B38*(1-Premissas!$D$11))</f>
        <v>1.5</v>
      </c>
      <c r="D39" s="26" t="n">
        <f aca="false">B39*Premissas!$D$6*Premissas!$B$26</f>
        <v>136660.009823721</v>
      </c>
      <c r="E39" s="26" t="n">
        <f aca="false">C39*Premissas!$D$7*Premissas!$B$26</f>
        <v>0</v>
      </c>
      <c r="F39" s="26" t="n">
        <f aca="false">D39+E39</f>
        <v>136660.009823721</v>
      </c>
      <c r="G39" s="26" t="n">
        <f aca="false">F39*Premissas!$D$13</f>
        <v>15032.6010806093</v>
      </c>
      <c r="H39" s="26" t="n">
        <f aca="false">F39*Premissas!$D$12</f>
        <v>106594.807662503</v>
      </c>
      <c r="I39" s="26" t="n">
        <f aca="false">F39-G39-H39</f>
        <v>15032.6010806093</v>
      </c>
      <c r="J39" s="26" t="n">
        <f aca="false">Premissas!$D$14+Premissas!$D$15</f>
        <v>11000</v>
      </c>
      <c r="K39" s="26" t="n">
        <f aca="false">I39-J39</f>
        <v>4032.60108060934</v>
      </c>
      <c r="L39" s="26" t="n">
        <f aca="false">K39</f>
        <v>4032.60108060934</v>
      </c>
      <c r="M39" s="26" t="n">
        <f aca="false">M38+L39</f>
        <v>-86469.4205315777</v>
      </c>
      <c r="N39" s="24" t="n">
        <f aca="false">IF(M39&gt;=0,1,0)</f>
        <v>0</v>
      </c>
    </row>
    <row r="40" customFormat="false" ht="15" hidden="false" customHeight="false" outlineLevel="0" collapsed="false">
      <c r="A40" s="24" t="n">
        <f aca="false">A39+1</f>
        <v>35</v>
      </c>
      <c r="B40" s="25" t="n">
        <f aca="false">MIN(Premissas!$D$10,B39*(1-Premissas!$D$11)+IF(A40=1,Premissas!$D$8,Premissas!$D$9*Premissas!$B$25))</f>
        <v>25.1049107877337</v>
      </c>
      <c r="C40" s="25" t="n">
        <f aca="false">MAX(0,B40-B39*(1-Premissas!$D$11))</f>
        <v>1.5</v>
      </c>
      <c r="D40" s="26" t="n">
        <f aca="false">B40*Premissas!$D$6*Premissas!$B$26</f>
        <v>138077.009332535</v>
      </c>
      <c r="E40" s="26" t="n">
        <f aca="false">C40*Premissas!$D$7*Premissas!$B$26</f>
        <v>0</v>
      </c>
      <c r="F40" s="26" t="n">
        <f aca="false">D40+E40</f>
        <v>138077.009332535</v>
      </c>
      <c r="G40" s="26" t="n">
        <f aca="false">F40*Premissas!$D$13</f>
        <v>15188.4710265789</v>
      </c>
      <c r="H40" s="26" t="n">
        <f aca="false">F40*Premissas!$D$12</f>
        <v>107700.067279377</v>
      </c>
      <c r="I40" s="26" t="n">
        <f aca="false">F40-G40-H40</f>
        <v>15188.4710265789</v>
      </c>
      <c r="J40" s="26" t="n">
        <f aca="false">Premissas!$D$14+Premissas!$D$15</f>
        <v>11000</v>
      </c>
      <c r="K40" s="26" t="n">
        <f aca="false">I40-J40</f>
        <v>4188.47102657886</v>
      </c>
      <c r="L40" s="26" t="n">
        <f aca="false">K40</f>
        <v>4188.47102657886</v>
      </c>
      <c r="M40" s="26" t="n">
        <f aca="false">M39+L40</f>
        <v>-82280.9495049988</v>
      </c>
      <c r="N40" s="24" t="n">
        <f aca="false">IF(M40&gt;=0,1,0)</f>
        <v>0</v>
      </c>
    </row>
    <row r="41" customFormat="false" ht="15" hidden="false" customHeight="false" outlineLevel="0" collapsed="false">
      <c r="A41" s="28" t="n">
        <f aca="false">A40+1</f>
        <v>36</v>
      </c>
      <c r="B41" s="29" t="n">
        <f aca="false">MIN(Premissas!$D$10,B40*(1-Premissas!$D$11)+IF(A41=1,Premissas!$D$8,Premissas!$D$9*Premissas!$B$25))</f>
        <v>25.349665248347</v>
      </c>
      <c r="C41" s="29" t="n">
        <f aca="false">MAX(0,B41-B40*(1-Premissas!$D$11))</f>
        <v>1.5</v>
      </c>
      <c r="D41" s="30" t="n">
        <f aca="false">B41*Premissas!$D$6*Premissas!$B$26</f>
        <v>139423.158865908</v>
      </c>
      <c r="E41" s="30" t="n">
        <f aca="false">C41*Premissas!$D$7*Premissas!$B$26</f>
        <v>0</v>
      </c>
      <c r="F41" s="30" t="n">
        <f aca="false">D41+E41</f>
        <v>139423.158865908</v>
      </c>
      <c r="G41" s="30" t="n">
        <f aca="false">F41*Premissas!$D$13</f>
        <v>15336.5474752499</v>
      </c>
      <c r="H41" s="30" t="n">
        <f aca="false">F41*Premissas!$D$12</f>
        <v>108750.063915409</v>
      </c>
      <c r="I41" s="30" t="n">
        <f aca="false">F41-G41-H41</f>
        <v>15336.5474752499</v>
      </c>
      <c r="J41" s="30" t="n">
        <f aca="false">Premissas!$D$14+Premissas!$D$15</f>
        <v>11000</v>
      </c>
      <c r="K41" s="30" t="n">
        <f aca="false">I41-J41</f>
        <v>4336.54747524993</v>
      </c>
      <c r="L41" s="30" t="n">
        <f aca="false">K41</f>
        <v>4336.54747524993</v>
      </c>
      <c r="M41" s="30" t="n">
        <f aca="false">M40+L41</f>
        <v>-77944.4020297489</v>
      </c>
      <c r="N41" s="28" t="n">
        <f aca="false">IF(M41&gt;=0,1,0)</f>
        <v>0</v>
      </c>
    </row>
    <row r="43" customFormat="false" ht="15" hidden="false" customHeight="false" outlineLevel="0" collapsed="false">
      <c r="A43" s="12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42"/>
    <col collapsed="false" customWidth="true" hidden="false" outlineLevel="0" max="9" min="9" style="0" width="12"/>
    <col collapsed="false" customWidth="true" hidden="false" outlineLevel="0" max="10" min="10" style="0" width="3"/>
    <col collapsed="false" customWidth="true" hidden="false" outlineLevel="0" max="11" min="11" style="0" width="22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16"/>
    <col collapsed="false" customWidth="true" hidden="false" outlineLevel="0" max="15" min="15" style="0" width="14"/>
  </cols>
  <sheetData>
    <row r="1" customFormat="false" ht="17.35" hidden="false" customHeight="false" outlineLevel="0" collapsed="false">
      <c r="A1" s="1" t="s">
        <v>119</v>
      </c>
    </row>
    <row r="2" customFormat="false" ht="15" hidden="false" customHeight="false" outlineLevel="0" collapsed="false">
      <c r="A2" s="12" t="s">
        <v>120</v>
      </c>
    </row>
    <row r="3" customFormat="false" ht="15" hidden="false" customHeight="false" outlineLevel="0" collapsed="false">
      <c r="K3" s="2" t="s">
        <v>121</v>
      </c>
    </row>
    <row r="4" customFormat="false" ht="31.5" hidden="false" customHeight="true" outlineLevel="0" collapsed="false">
      <c r="A4" s="6" t="s">
        <v>122</v>
      </c>
      <c r="B4" s="6" t="s">
        <v>123</v>
      </c>
      <c r="C4" s="6" t="s">
        <v>124</v>
      </c>
      <c r="D4" s="6" t="s">
        <v>125</v>
      </c>
      <c r="E4" s="6" t="s">
        <v>126</v>
      </c>
      <c r="F4" s="6" t="s">
        <v>127</v>
      </c>
      <c r="G4" s="6" t="s">
        <v>128</v>
      </c>
      <c r="H4" s="6" t="s">
        <v>129</v>
      </c>
      <c r="I4" s="6" t="s">
        <v>130</v>
      </c>
      <c r="K4" s="31" t="s">
        <v>122</v>
      </c>
      <c r="L4" s="31" t="s">
        <v>131</v>
      </c>
      <c r="M4" s="31" t="s">
        <v>132</v>
      </c>
      <c r="N4" s="31" t="s">
        <v>133</v>
      </c>
      <c r="O4" s="31" t="s">
        <v>134</v>
      </c>
    </row>
    <row r="5" customFormat="false" ht="15" hidden="false" customHeight="false" outlineLevel="0" collapsed="false">
      <c r="A5" s="32" t="s">
        <v>27</v>
      </c>
      <c r="B5" s="32" t="s">
        <v>135</v>
      </c>
      <c r="C5" s="32" t="s">
        <v>136</v>
      </c>
      <c r="D5" s="32" t="n">
        <v>4.3</v>
      </c>
      <c r="E5" s="32" t="n">
        <v>27</v>
      </c>
      <c r="F5" s="33" t="n">
        <v>1800</v>
      </c>
      <c r="G5" s="32" t="n">
        <v>10</v>
      </c>
      <c r="H5" s="32" t="s">
        <v>137</v>
      </c>
      <c r="I5" s="32" t="s">
        <v>138</v>
      </c>
      <c r="K5" s="3" t="s">
        <v>27</v>
      </c>
      <c r="L5" s="3" t="n">
        <f aca="false">COUNTIF($A$5:$A$200,K5)</f>
        <v>1</v>
      </c>
      <c r="M5" s="34" t="n">
        <f aca="false">IFERROR(AVERAGEIF($A$5:$A$200,K5,$D$5:$D$200),"-")</f>
        <v>4.3</v>
      </c>
      <c r="N5" s="26" t="n">
        <f aca="false">IFERROR(AVERAGEIF($A$5:$A$200,K5,$F$5:$F$200),"-")</f>
        <v>1800</v>
      </c>
      <c r="O5" s="34" t="n">
        <f aca="false">IFERROR(AVERAGEIF($A$5:$A$200,K5,$G$5:$G$200),"-")</f>
        <v>10</v>
      </c>
    </row>
    <row r="6" customFormat="false" ht="15" hidden="false" customHeight="false" outlineLevel="0" collapsed="false">
      <c r="K6" s="3" t="s">
        <v>28</v>
      </c>
      <c r="L6" s="3" t="n">
        <f aca="false">COUNTIF($A$5:$A$200,K6)</f>
        <v>0</v>
      </c>
      <c r="M6" s="34" t="str">
        <f aca="false">IFERROR(AVERAGEIF($A$5:$A$200,K6,$D$5:$D$200),"-")</f>
        <v>-</v>
      </c>
      <c r="N6" s="26" t="str">
        <f aca="false">IFERROR(AVERAGEIF($A$5:$A$200,K6,$F$5:$F$200),"-")</f>
        <v>-</v>
      </c>
      <c r="O6" s="34" t="str">
        <f aca="false">IFERROR(AVERAGEIF($A$5:$A$200,K6,$G$5:$G$200),"-")</f>
        <v>-</v>
      </c>
    </row>
    <row r="7" customFormat="false" ht="15" hidden="false" customHeight="false" outlineLevel="0" collapsed="false">
      <c r="K7" s="3" t="s">
        <v>29</v>
      </c>
      <c r="L7" s="3" t="n">
        <f aca="false">COUNTIF($A$5:$A$200,K7)</f>
        <v>0</v>
      </c>
      <c r="M7" s="34" t="str">
        <f aca="false">IFERROR(AVERAGEIF($A$5:$A$200,K7,$D$5:$D$200),"-")</f>
        <v>-</v>
      </c>
      <c r="N7" s="26" t="str">
        <f aca="false">IFERROR(AVERAGEIF($A$5:$A$200,K7,$F$5:$F$200),"-")</f>
        <v>-</v>
      </c>
      <c r="O7" s="34" t="str">
        <f aca="false">IFERROR(AVERAGEIF($A$5:$A$200,K7,$G$5:$G$200),"-")</f>
        <v>-</v>
      </c>
    </row>
    <row r="9" customFormat="false" ht="15" hidden="false" customHeight="false" outlineLevel="0" collapsed="false">
      <c r="K9" s="12" t="s">
        <v>139</v>
      </c>
    </row>
  </sheetData>
  <dataValidations count="1">
    <dataValidation allowBlank="true" errorStyle="stop" operator="between" showDropDown="false" showErrorMessage="false" showInputMessage="false" sqref="A5:A200" type="list">
      <formula1>"BPO financeiro,Consultoria NR-1,Agência de cuidadores"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2026-10-19T22:09:09Z</dcterms:created>
  <dc:creator>openpyxl</dc:creator>
  <dc:description/>
  <dc:language>en-US</dc:language>
  <cp:lastModifiedBy/>
  <dcterms:modified xsi:type="dcterms:W3CDTF">2026-10-19T22:09:09Z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